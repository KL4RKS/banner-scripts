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1965767\Box\Human Resources\HR Technical\Training\Banner\Ellucian Live\2026\"/>
    </mc:Choice>
  </mc:AlternateContent>
  <xr:revisionPtr revIDLastSave="0" documentId="13_ncr:1_{C3D5FB69-BB5E-46BD-9026-7301C1A7C600}" xr6:coauthVersionLast="47" xr6:coauthVersionMax="47" xr10:uidLastSave="{00000000-0000-0000-0000-000000000000}"/>
  <bookViews>
    <workbookView xWindow="780" yWindow="780" windowWidth="21600" windowHeight="12645" xr2:uid="{A04CED84-DA0B-4356-9301-5451C4406E70}"/>
  </bookViews>
  <sheets>
    <sheet name="Secondary Group Validation List" sheetId="2" r:id="rId1"/>
    <sheet name="Group Assignments" sheetId="1" r:id="rId2"/>
  </sheets>
  <definedNames>
    <definedName name="_xlnm._FilterDatabase" localSheetId="1">'Group Assignments'!$A$1:$E$15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<sst xmlns="http://schemas.openxmlformats.org/spreadsheetml/2006/main" count="74" uniqueCount="37">
  <si>
    <t>Employee Roth TIAA 403 $</t>
  </si>
  <si>
    <t>RT</t>
  </si>
  <si>
    <t>Employee Roth TIAA 403 %</t>
  </si>
  <si>
    <t>Employer TIAA Retirement</t>
  </si>
  <si>
    <t>Employee TIAA 457 $</t>
  </si>
  <si>
    <t>Employee TIAA 403B $</t>
  </si>
  <si>
    <t>Employee TIAA 457 %</t>
  </si>
  <si>
    <t>Employee TIAA 403B %</t>
  </si>
  <si>
    <t>C5R</t>
  </si>
  <si>
    <t>Empr Pub Safety Tier2 DB Retrm</t>
  </si>
  <si>
    <t>Employee Roth TIAA 457 %</t>
  </si>
  <si>
    <t>Employee Roth TIAA 457 $</t>
  </si>
  <si>
    <t>Retirement Loan Payback</t>
  </si>
  <si>
    <t>C0T</t>
  </si>
  <si>
    <t>C5T</t>
  </si>
  <si>
    <t>CAT</t>
  </si>
  <si>
    <t>DB</t>
  </si>
  <si>
    <t>RLP</t>
  </si>
  <si>
    <t>C0R</t>
  </si>
  <si>
    <t>SQL</t>
  </si>
  <si>
    <t>BDPG</t>
  </si>
  <si>
    <t>BDSG</t>
  </si>
  <si>
    <t>BDSC Desc</t>
  </si>
  <si>
    <t>DC 401k or 403b Roth</t>
  </si>
  <si>
    <t>DC 401k or 403b Tradtional</t>
  </si>
  <si>
    <t>DC 457k Roth</t>
  </si>
  <si>
    <t>DC 457k Traditional</t>
  </si>
  <si>
    <t>401A Traditional</t>
  </si>
  <si>
    <t>Defined Benefit</t>
  </si>
  <si>
    <t>Retirement Loan Payment</t>
  </si>
  <si>
    <t>BDCA</t>
  </si>
  <si>
    <t>BDCA_LONG_DESC</t>
  </si>
  <si>
    <t>Employer URS DB T2</t>
  </si>
  <si>
    <t>Employer URS DB T1</t>
  </si>
  <si>
    <t>Empr URS DB T1 PS</t>
  </si>
  <si>
    <t>CAR</t>
  </si>
  <si>
    <t>401A Roth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</si>
</sst>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CE97-B7B3-4A82-9733-A2229327D6B9}">
  <dimension ref="A1:C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1</v>
      </c>
      <c r="B2" t="s">
        <v>18</v>
      </c>
      <c r="C2" t="s">
        <v>23</v>
      </c>
    </row>
    <row r="3" spans="1:3" x14ac:dyDescent="0.25">
      <c r="A3" t="s">
        <v>1</v>
      </c>
      <c r="B3" t="s">
        <v>13</v>
      </c>
      <c r="C3" t="s">
        <v>24</v>
      </c>
    </row>
    <row r="4" spans="1:3" x14ac:dyDescent="0.25">
      <c r="A4" t="s">
        <v>1</v>
      </c>
      <c r="B4" t="s">
        <v>8</v>
      </c>
      <c r="C4" t="s">
        <v>25</v>
      </c>
    </row>
    <row r="5" spans="1:3" x14ac:dyDescent="0.25">
      <c r="A5" t="s">
        <v>1</v>
      </c>
      <c r="B5" t="s">
        <v>14</v>
      </c>
      <c r="C5" t="s">
        <v>26</v>
      </c>
    </row>
    <row r="6" spans="1:3" x14ac:dyDescent="0.25">
      <c r="A6" t="s">
        <v>1</v>
      </c>
      <c r="B6" t="s">
        <v>35</v>
      </c>
      <c r="C6" t="s">
        <v>36</v>
      </c>
    </row>
    <row r="7" spans="1:3" x14ac:dyDescent="0.25">
      <c r="A7" t="s">
        <v>1</v>
      </c>
      <c r="B7" t="s">
        <v>15</v>
      </c>
      <c r="C7" t="s">
        <v>27</v>
      </c>
    </row>
    <row r="8" spans="1:3" x14ac:dyDescent="0.25">
      <c r="A8" t="s">
        <v>1</v>
      </c>
      <c r="B8" t="s">
        <v>16</v>
      </c>
      <c r="C8" t="s">
        <v>28</v>
      </c>
    </row>
    <row r="9" spans="1:3" x14ac:dyDescent="0.25">
      <c r="A9" t="s">
        <v>1</v>
      </c>
      <c r="B9" t="s">
        <v>17</v>
      </c>
      <c r="C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2101-4A1F-4B97-A76B-08634DB1675C}">
  <dimension ref="A1:E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.85546875" bestFit="1" customWidth="1"/>
    <col min="2" max="2" width="7.7109375" bestFit="1" customWidth="1"/>
    <col min="3" max="3" width="7.85546875" bestFit="1" customWidth="1"/>
    <col min="4" max="4" width="30.7109375" bestFit="1" customWidth="1"/>
    <col min="5" max="5" width="62.42578125" customWidth="1"/>
  </cols>
  <sheetData>
    <row r="1" spans="1:5" x14ac:dyDescent="0.25">
      <c r="A1" t="s">
        <v>20</v>
      </c>
      <c r="B1" t="s">
        <v>21</v>
      </c>
      <c r="C1" t="s">
        <v>30</v>
      </c>
      <c r="D1" t="s">
        <v>31</v>
      </c>
      <c r="E1" t="s">
        <v>19</v>
      </c>
    </row>
    <row r="2" spans="1:5" x14ac:dyDescent="0.25">
      <c r="A2" t="s">
        <v>1</v>
      </c>
      <c r="B2" t="s">
        <v>16</v>
      </c>
      <c r="C2">
        <v>501</v>
      </c>
      <c r="D2" t="s">
        <v>32</v>
      </c>
      <c r="E2" t="str">
        <f>"SELECT '"&amp;A2&amp;"' BDPG, '"&amp;B2&amp;"' BDSG, '"&amp;C2&amp;"' BDCA FROM DUAL UNION ALL"</f>
        <v>SELECT 'RT' BDPG, 'DB' BDSG, '501' BDCA FROM DUAL UNION ALL</v>
      </c>
    </row>
    <row r="3" spans="1:5" x14ac:dyDescent="0.25">
      <c r="A3" t="s">
        <v>1</v>
      </c>
      <c r="B3" t="s">
        <v>16</v>
      </c>
      <c r="C3">
        <v>502</v>
      </c>
      <c r="D3" t="s">
        <v>33</v>
      </c>
      <c r="E3" t="str">
        <f t="shared" ref="E3:E15" si="0">"SELECT '"&amp;A3&amp;"' BDPG, '"&amp;B3&amp;"' BDSG, '"&amp;C3&amp;"' BDCA FROM DUAL UNION ALL"</f>
        <v>SELECT 'RT' BDPG, 'DB' BDSG, '502' BDCA FROM DUAL UNION ALL</v>
      </c>
    </row>
    <row r="4" spans="1:5" x14ac:dyDescent="0.25">
      <c r="A4" t="s">
        <v>1</v>
      </c>
      <c r="B4" t="s">
        <v>16</v>
      </c>
      <c r="C4">
        <v>503</v>
      </c>
      <c r="D4" t="s">
        <v>34</v>
      </c>
      <c r="E4" t="str">
        <f t="shared" si="0"/>
        <v>SELECT 'RT' BDPG, 'DB' BDSG, '503' BDCA FROM DUAL UNION ALL</v>
      </c>
    </row>
    <row r="5" spans="1:5" x14ac:dyDescent="0.25">
      <c r="A5" t="s">
        <v>1</v>
      </c>
      <c r="B5" t="s">
        <v>16</v>
      </c>
      <c r="C5">
        <v>504</v>
      </c>
      <c r="D5" t="s">
        <v>9</v>
      </c>
      <c r="E5" t="str">
        <f t="shared" si="0"/>
        <v>SELECT 'RT' BDPG, 'DB' BDSG, '504' BDCA FROM DUAL UNION ALL</v>
      </c>
    </row>
    <row r="6" spans="1:5" x14ac:dyDescent="0.25">
      <c r="A6" t="s">
        <v>1</v>
      </c>
      <c r="B6" t="s">
        <v>15</v>
      </c>
      <c r="C6">
        <v>505</v>
      </c>
      <c r="D6" t="s">
        <v>3</v>
      </c>
      <c r="E6" t="str">
        <f t="shared" si="0"/>
        <v>SELECT 'RT' BDPG, 'CAT' BDSG, '505' BDCA FROM DUAL UNION ALL</v>
      </c>
    </row>
    <row r="7" spans="1:5" x14ac:dyDescent="0.25">
      <c r="A7" t="s">
        <v>1</v>
      </c>
      <c r="B7" t="s">
        <v>14</v>
      </c>
      <c r="C7">
        <v>506</v>
      </c>
      <c r="D7" t="s">
        <v>4</v>
      </c>
      <c r="E7" t="str">
        <f t="shared" si="0"/>
        <v>SELECT 'RT' BDPG, 'C5T' BDSG, '506' BDCA FROM DUAL UNION ALL</v>
      </c>
    </row>
    <row r="8" spans="1:5" x14ac:dyDescent="0.25">
      <c r="A8" t="s">
        <v>1</v>
      </c>
      <c r="B8" t="s">
        <v>13</v>
      </c>
      <c r="C8">
        <v>507</v>
      </c>
      <c r="D8" t="s">
        <v>5</v>
      </c>
      <c r="E8" t="str">
        <f t="shared" si="0"/>
        <v>SELECT 'RT' BDPG, 'C0T' BDSG, '507' BDCA FROM DUAL UNION ALL</v>
      </c>
    </row>
    <row r="9" spans="1:5" x14ac:dyDescent="0.25">
      <c r="A9" t="s">
        <v>1</v>
      </c>
      <c r="B9" t="s">
        <v>18</v>
      </c>
      <c r="C9">
        <v>508</v>
      </c>
      <c r="D9" t="s">
        <v>0</v>
      </c>
      <c r="E9" t="str">
        <f t="shared" si="0"/>
        <v>SELECT 'RT' BDPG, 'C0R' BDSG, '508' BDCA FROM DUAL UNION ALL</v>
      </c>
    </row>
    <row r="10" spans="1:5" x14ac:dyDescent="0.25">
      <c r="A10" t="s">
        <v>1</v>
      </c>
      <c r="B10" t="s">
        <v>8</v>
      </c>
      <c r="C10">
        <v>509</v>
      </c>
      <c r="D10" t="s">
        <v>11</v>
      </c>
      <c r="E10" t="str">
        <f t="shared" si="0"/>
        <v>SELECT 'RT' BDPG, 'C5R' BDSG, '509' BDCA FROM DUAL UNION ALL</v>
      </c>
    </row>
    <row r="11" spans="1:5" x14ac:dyDescent="0.25">
      <c r="A11" t="s">
        <v>1</v>
      </c>
      <c r="B11" t="s">
        <v>17</v>
      </c>
      <c r="C11">
        <v>590</v>
      </c>
      <c r="D11" t="s">
        <v>12</v>
      </c>
      <c r="E11" t="str">
        <f t="shared" si="0"/>
        <v>SELECT 'RT' BDPG, 'RLP' BDSG, '590' BDCA FROM DUAL UNION ALL</v>
      </c>
    </row>
    <row r="12" spans="1:5" x14ac:dyDescent="0.25">
      <c r="A12" t="s">
        <v>1</v>
      </c>
      <c r="B12" t="s">
        <v>14</v>
      </c>
      <c r="C12">
        <v>606</v>
      </c>
      <c r="D12" t="s">
        <v>6</v>
      </c>
      <c r="E12" t="str">
        <f t="shared" si="0"/>
        <v>SELECT 'RT' BDPG, 'C5T' BDSG, '606' BDCA FROM DUAL UNION ALL</v>
      </c>
    </row>
    <row r="13" spans="1:5" x14ac:dyDescent="0.25">
      <c r="A13" t="s">
        <v>1</v>
      </c>
      <c r="B13" t="s">
        <v>13</v>
      </c>
      <c r="C13">
        <v>607</v>
      </c>
      <c r="D13" t="s">
        <v>7</v>
      </c>
      <c r="E13" t="str">
        <f t="shared" si="0"/>
        <v>SELECT 'RT' BDPG, 'C0T' BDSG, '607' BDCA FROM DUAL UNION ALL</v>
      </c>
    </row>
    <row r="14" spans="1:5" x14ac:dyDescent="0.25">
      <c r="A14" t="s">
        <v>1</v>
      </c>
      <c r="B14" t="s">
        <v>18</v>
      </c>
      <c r="C14">
        <v>608</v>
      </c>
      <c r="D14" t="s">
        <v>2</v>
      </c>
      <c r="E14" t="str">
        <f t="shared" si="0"/>
        <v>SELECT 'RT' BDPG, 'C0R' BDSG, '608' BDCA FROM DUAL UNION ALL</v>
      </c>
    </row>
    <row r="15" spans="1:5" x14ac:dyDescent="0.25">
      <c r="A15" t="s">
        <v>1</v>
      </c>
      <c r="B15" t="s">
        <v>8</v>
      </c>
      <c r="C15">
        <v>609</v>
      </c>
      <c r="D15" t="s">
        <v>10</v>
      </c>
      <c r="E15" t="str">
        <f t="shared" si="0"/>
        <v>SELECT 'RT' BDPG, 'C5R' BDSG, '609' BDCA FROM DUAL UNION ALL</v>
      </c>
    </row>
  </sheetData>
  <autoFilter ref="A1:E15" xr:uid="{56C02101-4A1F-4B97-A76B-08634DB1675C}">
    <sortState xmlns:xlrd2="http://schemas.microsoft.com/office/spreadsheetml/2017/richdata2" ref="A2:E15">
      <sortCondition ref="C1:C15"/>
    </sortState>
  </autoFilter>
  <conditionalFormatting sqref="C1:C1048576">
    <cfRule type="duplicateValues" dxfId="0" priority="3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A807C7-DC9B-48E7-80EC-D8DF3A539CF9}">
          <x14:formula1>
            <xm:f>'Secondary Group Validation List'!$B$2:$B$301</xm:f>
          </x14:formula1>
          <xm:sqref>B2:B33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Secondary Group Validation List</vt:lpstr>
      <vt:lpstr>Group Assignments</vt:lpstr>
      <vt:lpstr>'Group Assignments'!_FilterDatabase</vt:lpstr>
    </vt:vector>
  </TitlesOfParts>
  <Company>Utah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Clark</dc:creator>
  <cp:lastModifiedBy>Steven Clark</cp:lastModifiedBy>
  <dcterms:created xsi:type="dcterms:W3CDTF">2026-03-30T20:55:49Z</dcterms:created>
  <dcterms:modified xsi:type="dcterms:W3CDTF">2026-04-15T05:42:56Z</dcterms:modified>
</cp:coreProperties>
</file>