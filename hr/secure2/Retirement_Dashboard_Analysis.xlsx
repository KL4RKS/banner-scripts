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01965767\Box\Steven\User\code\github\KL4RKS\banner-scripts\hr\secure2\"/>
    </mc:Choice>
  </mc:AlternateContent>
  <xr:revisionPtr revIDLastSave="0" documentId="13_ncr:1_{E225FC91-3C94-4DC3-8FC7-BB9C87E0E19A}" xr6:coauthVersionLast="47" xr6:coauthVersionMax="47" xr10:uidLastSave="{00000000-0000-0000-0000-000000000000}"/>
  <bookViews>
    <workbookView xWindow="780" yWindow="345" windowWidth="24705" windowHeight="14895" xr2:uid="{8332CBC2-76F3-4A0B-A6E4-F007BAC3E3DD}"/>
  </bookViews>
  <sheets>
    <sheet name="Setup" sheetId="1" r:id="rId1"/>
    <sheet name="Data" sheetId="2" r:id="rId2"/>
    <sheet name="Pivot" sheetId="4" r:id="rId3"/>
  </sheets>
  <definedNames>
    <definedName name="_xlnm._FilterDatabase" localSheetId="1" hidden="1">Data!$A$1:$Y$107</definedName>
    <definedName name="_xlnm._FilterDatabase" localSheetId="2" hidden="1">Pivot!$A$3:$E$23</definedName>
    <definedName name="_xlnm._FilterDatabase" localSheetId="0" hidden="1">Setup!$A$15:$B$15</definedName>
  </definedNames>
  <calcPr calcId="191029"/>
  <pivotCaches>
    <pivotCache cacheId="1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2" l="1"/>
  <c r="M34" i="2" s="1"/>
  <c r="D35" i="2"/>
  <c r="D45" i="2"/>
  <c r="M45" i="2" s="1"/>
  <c r="D46" i="2"/>
  <c r="D59" i="2"/>
  <c r="D60" i="2"/>
  <c r="D107" i="2"/>
  <c r="M107" i="2" s="1"/>
  <c r="D2" i="2"/>
  <c r="A100" i="2"/>
  <c r="B100" i="2"/>
  <c r="C100" i="2"/>
  <c r="D100" i="2" s="1"/>
  <c r="E100" i="2"/>
  <c r="F100" i="2"/>
  <c r="G100" i="2"/>
  <c r="H100" i="2"/>
  <c r="A101" i="2"/>
  <c r="B101" i="2"/>
  <c r="C101" i="2"/>
  <c r="D101" i="2" s="1"/>
  <c r="E101" i="2"/>
  <c r="F101" i="2"/>
  <c r="G101" i="2"/>
  <c r="H101" i="2"/>
  <c r="A102" i="2"/>
  <c r="B102" i="2"/>
  <c r="C102" i="2"/>
  <c r="D102" i="2" s="1"/>
  <c r="E102" i="2"/>
  <c r="F102" i="2"/>
  <c r="G102" i="2"/>
  <c r="H102" i="2"/>
  <c r="A103" i="2"/>
  <c r="B103" i="2"/>
  <c r="C103" i="2"/>
  <c r="D103" i="2" s="1"/>
  <c r="E103" i="2"/>
  <c r="F103" i="2"/>
  <c r="G103" i="2"/>
  <c r="H103" i="2"/>
  <c r="A104" i="2"/>
  <c r="B104" i="2"/>
  <c r="C104" i="2"/>
  <c r="D104" i="2" s="1"/>
  <c r="E104" i="2"/>
  <c r="F104" i="2"/>
  <c r="G104" i="2"/>
  <c r="H104" i="2"/>
  <c r="A105" i="2"/>
  <c r="B105" i="2"/>
  <c r="C105" i="2"/>
  <c r="D105" i="2" s="1"/>
  <c r="M105" i="2" s="1"/>
  <c r="E105" i="2"/>
  <c r="F105" i="2"/>
  <c r="G105" i="2"/>
  <c r="H105" i="2"/>
  <c r="A106" i="2"/>
  <c r="B106" i="2"/>
  <c r="C106" i="2"/>
  <c r="D106" i="2" s="1"/>
  <c r="M106" i="2" s="1"/>
  <c r="E106" i="2"/>
  <c r="F106" i="2"/>
  <c r="G106" i="2"/>
  <c r="H106" i="2"/>
  <c r="A107" i="2"/>
  <c r="B107" i="2"/>
  <c r="C107" i="2"/>
  <c r="E107" i="2"/>
  <c r="F107" i="2"/>
  <c r="G107" i="2"/>
  <c r="H107" i="2"/>
  <c r="A7" i="2"/>
  <c r="A8" i="2" s="1"/>
  <c r="B7" i="2"/>
  <c r="B8" i="2" s="1"/>
  <c r="B9" i="2" s="1"/>
  <c r="B10" i="2" s="1"/>
  <c r="C7" i="2"/>
  <c r="D7" i="2" s="1"/>
  <c r="E7" i="2"/>
  <c r="F7" i="2"/>
  <c r="G7" i="2"/>
  <c r="H7" i="2"/>
  <c r="E8" i="2"/>
  <c r="F8" i="2"/>
  <c r="G8" i="2"/>
  <c r="H8" i="2"/>
  <c r="E9" i="2"/>
  <c r="F9" i="2"/>
  <c r="G9" i="2"/>
  <c r="H9" i="2"/>
  <c r="E10" i="2"/>
  <c r="F10" i="2"/>
  <c r="G10" i="2"/>
  <c r="H10" i="2"/>
  <c r="A11" i="2"/>
  <c r="A12" i="2" s="1"/>
  <c r="A13" i="2" s="1"/>
  <c r="A14" i="2" s="1"/>
  <c r="B11" i="2"/>
  <c r="C11" i="2"/>
  <c r="C12" i="2" s="1"/>
  <c r="D12" i="2" s="1"/>
  <c r="E11" i="2"/>
  <c r="F11" i="2"/>
  <c r="G11" i="2"/>
  <c r="H11" i="2"/>
  <c r="B12" i="2"/>
  <c r="B13" i="2" s="1"/>
  <c r="B14" i="2" s="1"/>
  <c r="E12" i="2"/>
  <c r="F12" i="2"/>
  <c r="G12" i="2"/>
  <c r="H12" i="2"/>
  <c r="E13" i="2"/>
  <c r="F13" i="2"/>
  <c r="G13" i="2"/>
  <c r="H13" i="2"/>
  <c r="E14" i="2"/>
  <c r="F14" i="2"/>
  <c r="G14" i="2"/>
  <c r="H14" i="2"/>
  <c r="A15" i="2"/>
  <c r="A16" i="2" s="1"/>
  <c r="A17" i="2" s="1"/>
  <c r="A18" i="2" s="1"/>
  <c r="B15" i="2"/>
  <c r="B16" i="2" s="1"/>
  <c r="B17" i="2" s="1"/>
  <c r="B18" i="2" s="1"/>
  <c r="C15" i="2"/>
  <c r="D15" i="2" s="1"/>
  <c r="E15" i="2"/>
  <c r="F15" i="2"/>
  <c r="G15" i="2"/>
  <c r="H15" i="2"/>
  <c r="E16" i="2"/>
  <c r="F16" i="2"/>
  <c r="G16" i="2"/>
  <c r="H16" i="2"/>
  <c r="E17" i="2"/>
  <c r="F17" i="2"/>
  <c r="G17" i="2"/>
  <c r="H17" i="2"/>
  <c r="E18" i="2"/>
  <c r="F18" i="2"/>
  <c r="G18" i="2"/>
  <c r="H18" i="2"/>
  <c r="A19" i="2"/>
  <c r="A20" i="2" s="1"/>
  <c r="A21" i="2" s="1"/>
  <c r="A22" i="2" s="1"/>
  <c r="A23" i="2" s="1"/>
  <c r="A24" i="2" s="1"/>
  <c r="B19" i="2"/>
  <c r="B20" i="2" s="1"/>
  <c r="B21" i="2" s="1"/>
  <c r="B22" i="2" s="1"/>
  <c r="B23" i="2" s="1"/>
  <c r="B24" i="2" s="1"/>
  <c r="C19" i="2"/>
  <c r="C20" i="2" s="1"/>
  <c r="D20" i="2" s="1"/>
  <c r="E19" i="2"/>
  <c r="F19" i="2"/>
  <c r="G19" i="2"/>
  <c r="H19" i="2"/>
  <c r="E20" i="2"/>
  <c r="F20" i="2"/>
  <c r="G20" i="2"/>
  <c r="H20" i="2"/>
  <c r="E21" i="2"/>
  <c r="F21" i="2"/>
  <c r="G21" i="2"/>
  <c r="H21" i="2"/>
  <c r="E22" i="2"/>
  <c r="F22" i="2"/>
  <c r="G22" i="2"/>
  <c r="H22" i="2"/>
  <c r="E23" i="2"/>
  <c r="F23" i="2"/>
  <c r="G23" i="2"/>
  <c r="H23" i="2"/>
  <c r="E24" i="2"/>
  <c r="F24" i="2"/>
  <c r="G24" i="2"/>
  <c r="H24" i="2"/>
  <c r="A25" i="2"/>
  <c r="A26" i="2" s="1"/>
  <c r="A27" i="2" s="1"/>
  <c r="A28" i="2" s="1"/>
  <c r="A29" i="2" s="1"/>
  <c r="A30" i="2" s="1"/>
  <c r="B25" i="2"/>
  <c r="B26" i="2" s="1"/>
  <c r="B27" i="2" s="1"/>
  <c r="B28" i="2" s="1"/>
  <c r="B29" i="2" s="1"/>
  <c r="B30" i="2" s="1"/>
  <c r="C25" i="2"/>
  <c r="C26" i="2" s="1"/>
  <c r="D26" i="2" s="1"/>
  <c r="E25" i="2"/>
  <c r="F25" i="2"/>
  <c r="G25" i="2"/>
  <c r="H25" i="2"/>
  <c r="E26" i="2"/>
  <c r="F26" i="2"/>
  <c r="G26" i="2"/>
  <c r="H26" i="2"/>
  <c r="E27" i="2"/>
  <c r="F27" i="2"/>
  <c r="G27" i="2"/>
  <c r="H27" i="2"/>
  <c r="E28" i="2"/>
  <c r="F28" i="2"/>
  <c r="G28" i="2"/>
  <c r="H28" i="2"/>
  <c r="E29" i="2"/>
  <c r="F29" i="2"/>
  <c r="G29" i="2"/>
  <c r="H29" i="2"/>
  <c r="E30" i="2"/>
  <c r="F30" i="2"/>
  <c r="G30" i="2"/>
  <c r="H30" i="2"/>
  <c r="A31" i="2"/>
  <c r="A32" i="2" s="1"/>
  <c r="A33" i="2" s="1"/>
  <c r="B31" i="2"/>
  <c r="B32" i="2" s="1"/>
  <c r="B33" i="2" s="1"/>
  <c r="C31" i="2"/>
  <c r="D31" i="2" s="1"/>
  <c r="E31" i="2"/>
  <c r="F31" i="2"/>
  <c r="G31" i="2"/>
  <c r="H31" i="2"/>
  <c r="E32" i="2"/>
  <c r="F32" i="2"/>
  <c r="G32" i="2"/>
  <c r="H32" i="2"/>
  <c r="E33" i="2"/>
  <c r="F33" i="2"/>
  <c r="G33" i="2"/>
  <c r="H33" i="2"/>
  <c r="A34" i="2"/>
  <c r="A35" i="2" s="1"/>
  <c r="A36" i="2" s="1"/>
  <c r="A37" i="2" s="1"/>
  <c r="A38" i="2" s="1"/>
  <c r="B34" i="2"/>
  <c r="B35" i="2" s="1"/>
  <c r="B36" i="2" s="1"/>
  <c r="B37" i="2" s="1"/>
  <c r="B38" i="2" s="1"/>
  <c r="C34" i="2"/>
  <c r="C35" i="2" s="1"/>
  <c r="E34" i="2"/>
  <c r="F34" i="2"/>
  <c r="G34" i="2"/>
  <c r="H34" i="2"/>
  <c r="E35" i="2"/>
  <c r="F35" i="2"/>
  <c r="G35" i="2"/>
  <c r="H35" i="2"/>
  <c r="E36" i="2"/>
  <c r="F36" i="2"/>
  <c r="G36" i="2"/>
  <c r="H36" i="2"/>
  <c r="E37" i="2"/>
  <c r="F37" i="2"/>
  <c r="G37" i="2"/>
  <c r="H37" i="2"/>
  <c r="E38" i="2"/>
  <c r="F38" i="2"/>
  <c r="G38" i="2"/>
  <c r="H38" i="2"/>
  <c r="A39" i="2"/>
  <c r="A40" i="2" s="1"/>
  <c r="A41" i="2" s="1"/>
  <c r="A42" i="2" s="1"/>
  <c r="A43" i="2" s="1"/>
  <c r="A44" i="2" s="1"/>
  <c r="B39" i="2"/>
  <c r="B40" i="2" s="1"/>
  <c r="B41" i="2" s="1"/>
  <c r="B42" i="2" s="1"/>
  <c r="B43" i="2" s="1"/>
  <c r="B44" i="2" s="1"/>
  <c r="C39" i="2"/>
  <c r="C40" i="2" s="1"/>
  <c r="D40" i="2" s="1"/>
  <c r="E39" i="2"/>
  <c r="F39" i="2"/>
  <c r="G39" i="2"/>
  <c r="H39" i="2"/>
  <c r="E40" i="2"/>
  <c r="F40" i="2"/>
  <c r="G40" i="2"/>
  <c r="H40" i="2"/>
  <c r="E41" i="2"/>
  <c r="F41" i="2"/>
  <c r="G41" i="2"/>
  <c r="H41" i="2"/>
  <c r="E42" i="2"/>
  <c r="F42" i="2"/>
  <c r="G42" i="2"/>
  <c r="H42" i="2"/>
  <c r="E43" i="2"/>
  <c r="F43" i="2"/>
  <c r="G43" i="2"/>
  <c r="H43" i="2"/>
  <c r="E44" i="2"/>
  <c r="F44" i="2"/>
  <c r="G44" i="2"/>
  <c r="H44" i="2"/>
  <c r="A45" i="2"/>
  <c r="A46" i="2" s="1"/>
  <c r="A47" i="2" s="1"/>
  <c r="A48" i="2" s="1"/>
  <c r="A49" i="2" s="1"/>
  <c r="A50" i="2" s="1"/>
  <c r="A51" i="2" s="1"/>
  <c r="B45" i="2"/>
  <c r="B46" i="2" s="1"/>
  <c r="B47" i="2" s="1"/>
  <c r="B48" i="2" s="1"/>
  <c r="B49" i="2" s="1"/>
  <c r="B50" i="2" s="1"/>
  <c r="B51" i="2" s="1"/>
  <c r="C45" i="2"/>
  <c r="C46" i="2" s="1"/>
  <c r="E45" i="2"/>
  <c r="F45" i="2"/>
  <c r="G45" i="2"/>
  <c r="H45" i="2"/>
  <c r="E46" i="2"/>
  <c r="F46" i="2"/>
  <c r="G46" i="2"/>
  <c r="H46" i="2"/>
  <c r="E47" i="2"/>
  <c r="F47" i="2"/>
  <c r="G47" i="2"/>
  <c r="H47" i="2"/>
  <c r="E48" i="2"/>
  <c r="F48" i="2"/>
  <c r="G48" i="2"/>
  <c r="H48" i="2"/>
  <c r="E49" i="2"/>
  <c r="F49" i="2"/>
  <c r="G49" i="2"/>
  <c r="H49" i="2"/>
  <c r="E50" i="2"/>
  <c r="F50" i="2"/>
  <c r="G50" i="2"/>
  <c r="H50" i="2"/>
  <c r="E51" i="2"/>
  <c r="F51" i="2"/>
  <c r="G51" i="2"/>
  <c r="H51" i="2"/>
  <c r="A52" i="2"/>
  <c r="A53" i="2" s="1"/>
  <c r="A54" i="2" s="1"/>
  <c r="A55" i="2" s="1"/>
  <c r="A56" i="2" s="1"/>
  <c r="A57" i="2" s="1"/>
  <c r="A58" i="2" s="1"/>
  <c r="B52" i="2"/>
  <c r="B53" i="2" s="1"/>
  <c r="B54" i="2" s="1"/>
  <c r="B55" i="2" s="1"/>
  <c r="B56" i="2" s="1"/>
  <c r="B57" i="2" s="1"/>
  <c r="B58" i="2" s="1"/>
  <c r="C52" i="2"/>
  <c r="D52" i="2" s="1"/>
  <c r="E52" i="2"/>
  <c r="F52" i="2"/>
  <c r="G52" i="2"/>
  <c r="H52" i="2"/>
  <c r="E53" i="2"/>
  <c r="F53" i="2"/>
  <c r="G53" i="2"/>
  <c r="H53" i="2"/>
  <c r="E54" i="2"/>
  <c r="F54" i="2"/>
  <c r="G54" i="2"/>
  <c r="H54" i="2"/>
  <c r="E55" i="2"/>
  <c r="F55" i="2"/>
  <c r="G55" i="2"/>
  <c r="H55" i="2"/>
  <c r="E56" i="2"/>
  <c r="F56" i="2"/>
  <c r="G56" i="2"/>
  <c r="H56" i="2"/>
  <c r="E57" i="2"/>
  <c r="F57" i="2"/>
  <c r="G57" i="2"/>
  <c r="H57" i="2"/>
  <c r="E58" i="2"/>
  <c r="F58" i="2"/>
  <c r="G58" i="2"/>
  <c r="H58" i="2"/>
  <c r="A59" i="2"/>
  <c r="A60" i="2" s="1"/>
  <c r="A61" i="2" s="1"/>
  <c r="A62" i="2" s="1"/>
  <c r="A63" i="2" s="1"/>
  <c r="B59" i="2"/>
  <c r="B60" i="2" s="1"/>
  <c r="B61" i="2" s="1"/>
  <c r="B62" i="2" s="1"/>
  <c r="B63" i="2" s="1"/>
  <c r="C59" i="2"/>
  <c r="C60" i="2" s="1"/>
  <c r="E59" i="2"/>
  <c r="F59" i="2"/>
  <c r="G59" i="2"/>
  <c r="H59" i="2"/>
  <c r="E60" i="2"/>
  <c r="F60" i="2"/>
  <c r="G60" i="2"/>
  <c r="H60" i="2"/>
  <c r="E61" i="2"/>
  <c r="F61" i="2"/>
  <c r="G61" i="2"/>
  <c r="H61" i="2"/>
  <c r="E62" i="2"/>
  <c r="F62" i="2"/>
  <c r="G62" i="2"/>
  <c r="H62" i="2"/>
  <c r="E63" i="2"/>
  <c r="F63" i="2"/>
  <c r="G63" i="2"/>
  <c r="H63" i="2"/>
  <c r="A64" i="2"/>
  <c r="A65" i="2" s="1"/>
  <c r="A66" i="2" s="1"/>
  <c r="A67" i="2" s="1"/>
  <c r="A68" i="2" s="1"/>
  <c r="A69" i="2" s="1"/>
  <c r="B64" i="2"/>
  <c r="B65" i="2" s="1"/>
  <c r="B66" i="2" s="1"/>
  <c r="B67" i="2" s="1"/>
  <c r="B68" i="2" s="1"/>
  <c r="B69" i="2" s="1"/>
  <c r="C64" i="2"/>
  <c r="D64" i="2" s="1"/>
  <c r="E64" i="2"/>
  <c r="F64" i="2"/>
  <c r="G64" i="2"/>
  <c r="H64" i="2"/>
  <c r="E65" i="2"/>
  <c r="F65" i="2"/>
  <c r="G65" i="2"/>
  <c r="H65" i="2"/>
  <c r="E66" i="2"/>
  <c r="F66" i="2"/>
  <c r="G66" i="2"/>
  <c r="H66" i="2"/>
  <c r="E67" i="2"/>
  <c r="F67" i="2"/>
  <c r="G67" i="2"/>
  <c r="H67" i="2"/>
  <c r="E68" i="2"/>
  <c r="F68" i="2"/>
  <c r="G68" i="2"/>
  <c r="H68" i="2"/>
  <c r="E69" i="2"/>
  <c r="F69" i="2"/>
  <c r="G69" i="2"/>
  <c r="H69" i="2"/>
  <c r="A70" i="2"/>
  <c r="A71" i="2" s="1"/>
  <c r="A72" i="2" s="1"/>
  <c r="A73" i="2" s="1"/>
  <c r="A74" i="2" s="1"/>
  <c r="B70" i="2"/>
  <c r="B71" i="2" s="1"/>
  <c r="B72" i="2" s="1"/>
  <c r="B73" i="2" s="1"/>
  <c r="B74" i="2" s="1"/>
  <c r="C70" i="2"/>
  <c r="C71" i="2" s="1"/>
  <c r="D71" i="2" s="1"/>
  <c r="E70" i="2"/>
  <c r="F70" i="2"/>
  <c r="G70" i="2"/>
  <c r="H70" i="2"/>
  <c r="E71" i="2"/>
  <c r="F71" i="2"/>
  <c r="G71" i="2"/>
  <c r="H71" i="2"/>
  <c r="E72" i="2"/>
  <c r="F72" i="2"/>
  <c r="G72" i="2"/>
  <c r="H72" i="2"/>
  <c r="E73" i="2"/>
  <c r="F73" i="2"/>
  <c r="G73" i="2"/>
  <c r="H73" i="2"/>
  <c r="E74" i="2"/>
  <c r="F74" i="2"/>
  <c r="G74" i="2"/>
  <c r="H74" i="2"/>
  <c r="A75" i="2"/>
  <c r="A76" i="2" s="1"/>
  <c r="A77" i="2" s="1"/>
  <c r="A78" i="2" s="1"/>
  <c r="A79" i="2" s="1"/>
  <c r="A80" i="2" s="1"/>
  <c r="B75" i="2"/>
  <c r="B76" i="2" s="1"/>
  <c r="B77" i="2" s="1"/>
  <c r="B78" i="2" s="1"/>
  <c r="B79" i="2" s="1"/>
  <c r="B80" i="2" s="1"/>
  <c r="C75" i="2"/>
  <c r="D75" i="2" s="1"/>
  <c r="E75" i="2"/>
  <c r="F75" i="2"/>
  <c r="G75" i="2"/>
  <c r="H75" i="2"/>
  <c r="E76" i="2"/>
  <c r="F76" i="2"/>
  <c r="G76" i="2"/>
  <c r="H76" i="2"/>
  <c r="E77" i="2"/>
  <c r="F77" i="2"/>
  <c r="G77" i="2"/>
  <c r="H77" i="2"/>
  <c r="E78" i="2"/>
  <c r="F78" i="2"/>
  <c r="G78" i="2"/>
  <c r="H78" i="2"/>
  <c r="E79" i="2"/>
  <c r="F79" i="2"/>
  <c r="G79" i="2"/>
  <c r="H79" i="2"/>
  <c r="E80" i="2"/>
  <c r="F80" i="2"/>
  <c r="G80" i="2"/>
  <c r="H80" i="2"/>
  <c r="A81" i="2"/>
  <c r="A82" i="2" s="1"/>
  <c r="A83" i="2" s="1"/>
  <c r="A84" i="2" s="1"/>
  <c r="A85" i="2" s="1"/>
  <c r="A86" i="2" s="1"/>
  <c r="B81" i="2"/>
  <c r="B82" i="2" s="1"/>
  <c r="B83" i="2" s="1"/>
  <c r="B84" i="2" s="1"/>
  <c r="B85" i="2" s="1"/>
  <c r="B86" i="2" s="1"/>
  <c r="C81" i="2"/>
  <c r="D81" i="2" s="1"/>
  <c r="E81" i="2"/>
  <c r="F81" i="2"/>
  <c r="G81" i="2"/>
  <c r="H81" i="2"/>
  <c r="E82" i="2"/>
  <c r="F82" i="2"/>
  <c r="G82" i="2"/>
  <c r="H82" i="2"/>
  <c r="E83" i="2"/>
  <c r="F83" i="2"/>
  <c r="G83" i="2"/>
  <c r="H83" i="2"/>
  <c r="E84" i="2"/>
  <c r="F84" i="2"/>
  <c r="G84" i="2"/>
  <c r="H84" i="2"/>
  <c r="E85" i="2"/>
  <c r="F85" i="2"/>
  <c r="G85" i="2"/>
  <c r="H85" i="2"/>
  <c r="E86" i="2"/>
  <c r="F86" i="2"/>
  <c r="G86" i="2"/>
  <c r="H86" i="2"/>
  <c r="A87" i="2"/>
  <c r="A88" i="2" s="1"/>
  <c r="A89" i="2" s="1"/>
  <c r="A90" i="2" s="1"/>
  <c r="A91" i="2" s="1"/>
  <c r="A92" i="2" s="1"/>
  <c r="A93" i="2" s="1"/>
  <c r="A94" i="2" s="1"/>
  <c r="B87" i="2"/>
  <c r="B88" i="2" s="1"/>
  <c r="B89" i="2" s="1"/>
  <c r="B90" i="2" s="1"/>
  <c r="B91" i="2" s="1"/>
  <c r="B92" i="2" s="1"/>
  <c r="B93" i="2" s="1"/>
  <c r="B94" i="2" s="1"/>
  <c r="C87" i="2"/>
  <c r="C88" i="2" s="1"/>
  <c r="D88" i="2" s="1"/>
  <c r="E87" i="2"/>
  <c r="F87" i="2"/>
  <c r="G87" i="2"/>
  <c r="H87" i="2"/>
  <c r="E88" i="2"/>
  <c r="F88" i="2"/>
  <c r="G88" i="2"/>
  <c r="H88" i="2"/>
  <c r="E89" i="2"/>
  <c r="F89" i="2"/>
  <c r="G89" i="2"/>
  <c r="H89" i="2"/>
  <c r="E90" i="2"/>
  <c r="F90" i="2"/>
  <c r="G90" i="2"/>
  <c r="H90" i="2"/>
  <c r="E91" i="2"/>
  <c r="F91" i="2"/>
  <c r="G91" i="2"/>
  <c r="H91" i="2"/>
  <c r="E92" i="2"/>
  <c r="F92" i="2"/>
  <c r="G92" i="2"/>
  <c r="H92" i="2"/>
  <c r="E93" i="2"/>
  <c r="F93" i="2"/>
  <c r="G93" i="2"/>
  <c r="H93" i="2"/>
  <c r="E94" i="2"/>
  <c r="F94" i="2"/>
  <c r="G94" i="2"/>
  <c r="H94" i="2"/>
  <c r="A95" i="2"/>
  <c r="A96" i="2" s="1"/>
  <c r="A97" i="2" s="1"/>
  <c r="A98" i="2" s="1"/>
  <c r="A99" i="2" s="1"/>
  <c r="B95" i="2"/>
  <c r="B96" i="2" s="1"/>
  <c r="B97" i="2" s="1"/>
  <c r="B98" i="2" s="1"/>
  <c r="B99" i="2" s="1"/>
  <c r="C95" i="2"/>
  <c r="C96" i="2" s="1"/>
  <c r="C97" i="2" s="1"/>
  <c r="D97" i="2" s="1"/>
  <c r="E95" i="2"/>
  <c r="F95" i="2"/>
  <c r="G95" i="2"/>
  <c r="H95" i="2"/>
  <c r="E96" i="2"/>
  <c r="F96" i="2"/>
  <c r="G96" i="2"/>
  <c r="H96" i="2"/>
  <c r="E97" i="2"/>
  <c r="F97" i="2"/>
  <c r="G97" i="2"/>
  <c r="H97" i="2"/>
  <c r="E98" i="2"/>
  <c r="F98" i="2"/>
  <c r="G98" i="2"/>
  <c r="H98" i="2"/>
  <c r="E99" i="2"/>
  <c r="F99" i="2"/>
  <c r="G99" i="2"/>
  <c r="H99" i="2"/>
  <c r="E3" i="2"/>
  <c r="F3" i="2"/>
  <c r="G3" i="2"/>
  <c r="H3" i="2"/>
  <c r="E4" i="2"/>
  <c r="F4" i="2"/>
  <c r="G4" i="2"/>
  <c r="H4" i="2"/>
  <c r="E5" i="2"/>
  <c r="F5" i="2"/>
  <c r="G5" i="2"/>
  <c r="H5" i="2"/>
  <c r="E6" i="2"/>
  <c r="F6" i="2"/>
  <c r="G6" i="2"/>
  <c r="H6" i="2"/>
  <c r="B2" i="2"/>
  <c r="B3" i="2" s="1"/>
  <c r="B4" i="2" s="1"/>
  <c r="B5" i="2" s="1"/>
  <c r="B6" i="2" s="1"/>
  <c r="C2" i="2"/>
  <c r="C3" i="2" s="1"/>
  <c r="D3" i="2" s="1"/>
  <c r="A2" i="2"/>
  <c r="H2" i="2"/>
  <c r="G2" i="2"/>
  <c r="F2" i="2"/>
  <c r="E2" i="2"/>
  <c r="C8" i="2" l="1"/>
  <c r="D8" i="2" s="1"/>
  <c r="D96" i="2"/>
  <c r="D25" i="2"/>
  <c r="M25" i="2" s="1"/>
  <c r="D95" i="2"/>
  <c r="D11" i="2"/>
  <c r="D70" i="2"/>
  <c r="N70" i="2" s="1"/>
  <c r="C32" i="2"/>
  <c r="D32" i="2" s="1"/>
  <c r="D19" i="2"/>
  <c r="C76" i="2"/>
  <c r="D87" i="2"/>
  <c r="N87" i="2" s="1"/>
  <c r="D39" i="2"/>
  <c r="N39" i="2" s="1"/>
  <c r="M102" i="2"/>
  <c r="M100" i="2"/>
  <c r="N100" i="2"/>
  <c r="N106" i="2"/>
  <c r="N105" i="2"/>
  <c r="N107" i="2"/>
  <c r="N15" i="2"/>
  <c r="N59" i="2"/>
  <c r="M60" i="2"/>
  <c r="C36" i="2"/>
  <c r="C37" i="2" s="1"/>
  <c r="M35" i="2"/>
  <c r="N34" i="2"/>
  <c r="C16" i="2"/>
  <c r="C17" i="2" s="1"/>
  <c r="D17" i="2" s="1"/>
  <c r="C61" i="2"/>
  <c r="D61" i="2" s="1"/>
  <c r="N75" i="2"/>
  <c r="M75" i="2"/>
  <c r="C41" i="2"/>
  <c r="M40" i="2"/>
  <c r="C98" i="2"/>
  <c r="D98" i="2" s="1"/>
  <c r="C89" i="2"/>
  <c r="D89" i="2" s="1"/>
  <c r="M88" i="2"/>
  <c r="C27" i="2"/>
  <c r="D27" i="2" s="1"/>
  <c r="C47" i="2"/>
  <c r="M46" i="2"/>
  <c r="C72" i="2"/>
  <c r="M71" i="2"/>
  <c r="C4" i="2"/>
  <c r="D4" i="2" s="1"/>
  <c r="C53" i="2"/>
  <c r="A3" i="2"/>
  <c r="M59" i="2"/>
  <c r="N45" i="2"/>
  <c r="C13" i="2"/>
  <c r="D13" i="2" s="1"/>
  <c r="N25" i="2"/>
  <c r="M81" i="2"/>
  <c r="N81" i="2"/>
  <c r="M52" i="2"/>
  <c r="N52" i="2"/>
  <c r="C21" i="2"/>
  <c r="D21" i="2" s="1"/>
  <c r="C9" i="2"/>
  <c r="D9" i="2" s="1"/>
  <c r="C82" i="2"/>
  <c r="D82" i="2" s="1"/>
  <c r="N60" i="2"/>
  <c r="A9" i="2"/>
  <c r="M7" i="2"/>
  <c r="N7" i="2"/>
  <c r="C65" i="2"/>
  <c r="D65" i="2" s="1"/>
  <c r="M15" i="2"/>
  <c r="M3" i="2"/>
  <c r="N3" i="2"/>
  <c r="C14" i="2" l="1"/>
  <c r="D14" i="2" s="1"/>
  <c r="M87" i="2"/>
  <c r="D37" i="2"/>
  <c r="M37" i="2" s="1"/>
  <c r="A4" i="2"/>
  <c r="C48" i="2"/>
  <c r="C49" i="2" s="1"/>
  <c r="D49" i="2" s="1"/>
  <c r="D47" i="2"/>
  <c r="D16" i="2"/>
  <c r="M16" i="2" s="1"/>
  <c r="C54" i="2"/>
  <c r="D53" i="2"/>
  <c r="N53" i="2" s="1"/>
  <c r="D36" i="2"/>
  <c r="N36" i="2" s="1"/>
  <c r="C33" i="2"/>
  <c r="D33" i="2" s="1"/>
  <c r="C42" i="2"/>
  <c r="D42" i="2" s="1"/>
  <c r="D41" i="2"/>
  <c r="M70" i="2"/>
  <c r="D72" i="2"/>
  <c r="N72" i="2" s="1"/>
  <c r="C77" i="2"/>
  <c r="D76" i="2"/>
  <c r="N104" i="2"/>
  <c r="M104" i="2"/>
  <c r="N35" i="2"/>
  <c r="N88" i="2"/>
  <c r="M72" i="2"/>
  <c r="M39" i="2"/>
  <c r="B5" i="4"/>
  <c r="A5" i="4"/>
  <c r="N71" i="2"/>
  <c r="C62" i="2"/>
  <c r="D62" i="2" s="1"/>
  <c r="C73" i="2"/>
  <c r="D73" i="2" s="1"/>
  <c r="C38" i="2"/>
  <c r="D38" i="2" s="1"/>
  <c r="M38" i="2" s="1"/>
  <c r="N40" i="2"/>
  <c r="N37" i="2"/>
  <c r="C43" i="2"/>
  <c r="D43" i="2" s="1"/>
  <c r="N46" i="2"/>
  <c r="M47" i="2"/>
  <c r="N26" i="2"/>
  <c r="M26" i="2"/>
  <c r="C28" i="2"/>
  <c r="D28" i="2" s="1"/>
  <c r="C5" i="2"/>
  <c r="D5" i="2" s="1"/>
  <c r="C90" i="2"/>
  <c r="D90" i="2" s="1"/>
  <c r="C99" i="2"/>
  <c r="D99" i="2" s="1"/>
  <c r="C83" i="2"/>
  <c r="D83" i="2" s="1"/>
  <c r="C10" i="2"/>
  <c r="D10" i="2" s="1"/>
  <c r="N8" i="2"/>
  <c r="M8" i="2"/>
  <c r="M53" i="2"/>
  <c r="C66" i="2"/>
  <c r="D66" i="2" s="1"/>
  <c r="C22" i="2"/>
  <c r="D22" i="2" s="1"/>
  <c r="C18" i="2"/>
  <c r="D18" i="2" s="1"/>
  <c r="A10" i="2"/>
  <c r="N38" i="2"/>
  <c r="C74" i="2"/>
  <c r="D74" i="2" s="1"/>
  <c r="M2" i="2"/>
  <c r="N2" i="2"/>
  <c r="M36" i="2" l="1"/>
  <c r="N76" i="2"/>
  <c r="M76" i="2"/>
  <c r="D54" i="2"/>
  <c r="C55" i="2"/>
  <c r="D77" i="2"/>
  <c r="C78" i="2"/>
  <c r="A5" i="2"/>
  <c r="N16" i="2"/>
  <c r="D48" i="2"/>
  <c r="M48" i="2" s="1"/>
  <c r="N47" i="2"/>
  <c r="M61" i="2"/>
  <c r="N61" i="2"/>
  <c r="C63" i="2"/>
  <c r="D63" i="2" s="1"/>
  <c r="M4" i="2"/>
  <c r="N4" i="2"/>
  <c r="C50" i="2"/>
  <c r="D50" i="2" s="1"/>
  <c r="N49" i="2"/>
  <c r="C6" i="2"/>
  <c r="D6" i="2" s="1"/>
  <c r="M41" i="2"/>
  <c r="N41" i="2"/>
  <c r="C29" i="2"/>
  <c r="D29" i="2" s="1"/>
  <c r="M89" i="2"/>
  <c r="N89" i="2"/>
  <c r="M27" i="2"/>
  <c r="N27" i="2"/>
  <c r="C91" i="2"/>
  <c r="D91" i="2" s="1"/>
  <c r="M42" i="2"/>
  <c r="N42" i="2"/>
  <c r="C44" i="2"/>
  <c r="D44" i="2" s="1"/>
  <c r="C23" i="2"/>
  <c r="D23" i="2" s="1"/>
  <c r="M10" i="2"/>
  <c r="N10" i="2"/>
  <c r="N9" i="2"/>
  <c r="M9" i="2"/>
  <c r="C84" i="2"/>
  <c r="D84" i="2" s="1"/>
  <c r="M82" i="2"/>
  <c r="N82" i="2"/>
  <c r="C67" i="2"/>
  <c r="D67" i="2" s="1"/>
  <c r="M49" i="2"/>
  <c r="M17" i="2"/>
  <c r="N17" i="2"/>
  <c r="M74" i="2"/>
  <c r="N74" i="2"/>
  <c r="M18" i="2"/>
  <c r="N18" i="2"/>
  <c r="M73" i="2"/>
  <c r="N73" i="2"/>
  <c r="C51" i="2" l="1"/>
  <c r="D51" i="2" s="1"/>
  <c r="A6" i="2"/>
  <c r="I104" i="2" s="1"/>
  <c r="K107" i="2"/>
  <c r="J25" i="2"/>
  <c r="A17" i="4"/>
  <c r="I4" i="2"/>
  <c r="I107" i="2"/>
  <c r="B19" i="4"/>
  <c r="A7" i="4"/>
  <c r="J104" i="2"/>
  <c r="A12" i="4"/>
  <c r="J107" i="2"/>
  <c r="I106" i="2"/>
  <c r="A16" i="4"/>
  <c r="I100" i="2"/>
  <c r="A14" i="4"/>
  <c r="B8" i="4"/>
  <c r="A9" i="4"/>
  <c r="B15" i="4"/>
  <c r="B16" i="4"/>
  <c r="A19" i="4"/>
  <c r="K103" i="2"/>
  <c r="N103" i="2" s="1"/>
  <c r="B13" i="4"/>
  <c r="L102" i="2"/>
  <c r="I101" i="2"/>
  <c r="M101" i="2" s="1"/>
  <c r="J103" i="2"/>
  <c r="I91" i="2"/>
  <c r="L107" i="2"/>
  <c r="A10" i="4"/>
  <c r="A18" i="4"/>
  <c r="L45" i="2"/>
  <c r="B17" i="4"/>
  <c r="I25" i="2"/>
  <c r="I55" i="2"/>
  <c r="J72" i="2"/>
  <c r="J46" i="2"/>
  <c r="I36" i="2"/>
  <c r="L39" i="2"/>
  <c r="I83" i="2"/>
  <c r="I22" i="2"/>
  <c r="M22" i="2" s="1"/>
  <c r="J68" i="2"/>
  <c r="K95" i="2"/>
  <c r="N95" i="2" s="1"/>
  <c r="K4" i="2"/>
  <c r="J35" i="2"/>
  <c r="I62" i="2"/>
  <c r="K35" i="2"/>
  <c r="I84" i="2"/>
  <c r="I51" i="2"/>
  <c r="K46" i="2"/>
  <c r="I77" i="2"/>
  <c r="I7" i="2"/>
  <c r="L11" i="2"/>
  <c r="I26" i="2"/>
  <c r="I21" i="2"/>
  <c r="M21" i="2" s="1"/>
  <c r="J10" i="2"/>
  <c r="J19" i="2"/>
  <c r="J18" i="2"/>
  <c r="L91" i="2"/>
  <c r="J4" i="2"/>
  <c r="K27" i="2"/>
  <c r="L46" i="2"/>
  <c r="K104" i="2"/>
  <c r="B18" i="4"/>
  <c r="K106" i="2"/>
  <c r="L101" i="2"/>
  <c r="K49" i="2"/>
  <c r="I96" i="2"/>
  <c r="M96" i="2" s="1"/>
  <c r="J41" i="2"/>
  <c r="J81" i="2"/>
  <c r="J11" i="2"/>
  <c r="K41" i="2"/>
  <c r="K66" i="2"/>
  <c r="N66" i="2" s="1"/>
  <c r="J61" i="2"/>
  <c r="J57" i="2"/>
  <c r="J93" i="2"/>
  <c r="L87" i="2"/>
  <c r="J24" i="2"/>
  <c r="J29" i="2"/>
  <c r="K37" i="2"/>
  <c r="I53" i="2"/>
  <c r="J70" i="2"/>
  <c r="J69" i="2"/>
  <c r="I47" i="2"/>
  <c r="I49" i="2"/>
  <c r="I39" i="2"/>
  <c r="K47" i="2"/>
  <c r="L47" i="2"/>
  <c r="J65" i="2"/>
  <c r="K75" i="2"/>
  <c r="A23" i="4"/>
  <c r="L106" i="2"/>
  <c r="A11" i="4"/>
  <c r="J100" i="2"/>
  <c r="J98" i="2"/>
  <c r="K59" i="2"/>
  <c r="K30" i="2"/>
  <c r="K24" i="2"/>
  <c r="I81" i="2"/>
  <c r="K80" i="2"/>
  <c r="L37" i="2"/>
  <c r="I74" i="2"/>
  <c r="L9" i="2"/>
  <c r="K93" i="2"/>
  <c r="J23" i="2"/>
  <c r="K81" i="2"/>
  <c r="I42" i="2"/>
  <c r="I43" i="2"/>
  <c r="K40" i="2"/>
  <c r="I54" i="2"/>
  <c r="L4" i="2"/>
  <c r="L93" i="2"/>
  <c r="I89" i="2"/>
  <c r="K6" i="2"/>
  <c r="J5" i="2"/>
  <c r="K97" i="2"/>
  <c r="N97" i="2" s="1"/>
  <c r="I63" i="2"/>
  <c r="L18" i="2"/>
  <c r="L8" i="2"/>
  <c r="I20" i="2"/>
  <c r="M20" i="2" s="1"/>
  <c r="K13" i="2"/>
  <c r="N13" i="2" s="1"/>
  <c r="L99" i="2"/>
  <c r="K70" i="2"/>
  <c r="I85" i="2"/>
  <c r="J53" i="2"/>
  <c r="J37" i="2"/>
  <c r="K105" i="2"/>
  <c r="A21" i="4"/>
  <c r="K5" i="2"/>
  <c r="L41" i="2"/>
  <c r="L17" i="2"/>
  <c r="L51" i="2"/>
  <c r="I19" i="2"/>
  <c r="M19" i="2" s="1"/>
  <c r="K89" i="2"/>
  <c r="K44" i="2"/>
  <c r="K11" i="2"/>
  <c r="N11" i="2" s="1"/>
  <c r="L29" i="2"/>
  <c r="J26" i="2"/>
  <c r="J14" i="2"/>
  <c r="J42" i="2"/>
  <c r="J67" i="2"/>
  <c r="L61" i="2"/>
  <c r="J83" i="2"/>
  <c r="K43" i="2"/>
  <c r="J59" i="2"/>
  <c r="J96" i="2"/>
  <c r="J17" i="2"/>
  <c r="L30" i="2"/>
  <c r="L95" i="2"/>
  <c r="I15" i="2"/>
  <c r="K3" i="2"/>
  <c r="L85" i="2"/>
  <c r="I18" i="2"/>
  <c r="K31" i="2"/>
  <c r="N31" i="2" s="1"/>
  <c r="K98" i="2"/>
  <c r="N98" i="2" s="1"/>
  <c r="L12" i="2"/>
  <c r="I87" i="2"/>
  <c r="I14" i="2"/>
  <c r="M14" i="2" s="1"/>
  <c r="L58" i="2"/>
  <c r="I105" i="2"/>
  <c r="K101" i="2"/>
  <c r="N101" i="2" s="1"/>
  <c r="L50" i="2"/>
  <c r="I5" i="2"/>
  <c r="L86" i="2"/>
  <c r="L44" i="2"/>
  <c r="J52" i="2"/>
  <c r="I45" i="2"/>
  <c r="K20" i="2"/>
  <c r="N20" i="2" s="1"/>
  <c r="I88" i="2"/>
  <c r="L23" i="2"/>
  <c r="I44" i="2"/>
  <c r="K8" i="2"/>
  <c r="L82" i="2"/>
  <c r="K15" i="2"/>
  <c r="J64" i="2"/>
  <c r="K73" i="2"/>
  <c r="J28" i="2"/>
  <c r="L34" i="2"/>
  <c r="J91" i="2"/>
  <c r="J34" i="2"/>
  <c r="K14" i="2"/>
  <c r="N14" i="2" s="1"/>
  <c r="L63" i="2"/>
  <c r="I72" i="2"/>
  <c r="L20" i="2"/>
  <c r="L68" i="2"/>
  <c r="K45" i="2"/>
  <c r="L5" i="2"/>
  <c r="K19" i="2"/>
  <c r="N19" i="2" s="1"/>
  <c r="J9" i="2"/>
  <c r="K12" i="2"/>
  <c r="N12" i="2" s="1"/>
  <c r="K21" i="2"/>
  <c r="N21" i="2" s="1"/>
  <c r="B14" i="4"/>
  <c r="I102" i="2"/>
  <c r="B21" i="4"/>
  <c r="J88" i="2"/>
  <c r="J31" i="2"/>
  <c r="L48" i="2"/>
  <c r="I59" i="2"/>
  <c r="I98" i="2"/>
  <c r="M98" i="2" s="1"/>
  <c r="J76" i="2"/>
  <c r="I6" i="2"/>
  <c r="I3" i="2"/>
  <c r="K86" i="2"/>
  <c r="L38" i="2"/>
  <c r="L69" i="2"/>
  <c r="L67" i="2"/>
  <c r="J48" i="2"/>
  <c r="K18" i="2"/>
  <c r="K63" i="2"/>
  <c r="K76" i="2"/>
  <c r="L24" i="2"/>
  <c r="L81" i="2"/>
  <c r="I50" i="2"/>
  <c r="K65" i="2"/>
  <c r="N65" i="2" s="1"/>
  <c r="J60" i="2"/>
  <c r="J85" i="2"/>
  <c r="J3" i="2"/>
  <c r="L96" i="2"/>
  <c r="K87" i="2"/>
  <c r="A22" i="4"/>
  <c r="K10" i="2"/>
  <c r="K92" i="2"/>
  <c r="I13" i="2"/>
  <c r="M13" i="2" s="1"/>
  <c r="K68" i="2"/>
  <c r="I29" i="2"/>
  <c r="L28" i="2"/>
  <c r="J71" i="2"/>
  <c r="K52" i="2"/>
  <c r="J97" i="2"/>
  <c r="K84" i="2"/>
  <c r="K54" i="2"/>
  <c r="J56" i="2"/>
  <c r="L84" i="2"/>
  <c r="J90" i="2"/>
  <c r="J43" i="2"/>
  <c r="L10" i="2"/>
  <c r="B7" i="4"/>
  <c r="B22" i="4"/>
  <c r="I99" i="2"/>
  <c r="M99" i="2" s="1"/>
  <c r="K25" i="2"/>
  <c r="K17" i="2"/>
  <c r="J92" i="2"/>
  <c r="L83" i="2"/>
  <c r="J20" i="2"/>
  <c r="J58" i="2"/>
  <c r="J55" i="2"/>
  <c r="L72" i="2"/>
  <c r="K88" i="2"/>
  <c r="J87" i="2"/>
  <c r="K39" i="2"/>
  <c r="I30" i="2"/>
  <c r="K57" i="2"/>
  <c r="I31" i="2"/>
  <c r="M31" i="2" s="1"/>
  <c r="J74" i="2"/>
  <c r="L100" i="2"/>
  <c r="I24" i="2"/>
  <c r="L15" i="2"/>
  <c r="K62" i="2"/>
  <c r="K26" i="2"/>
  <c r="L21" i="2"/>
  <c r="K77" i="2"/>
  <c r="L79" i="2"/>
  <c r="L70" i="2"/>
  <c r="J16" i="2"/>
  <c r="L62" i="2"/>
  <c r="L73" i="2"/>
  <c r="L53" i="2"/>
  <c r="L80" i="2"/>
  <c r="I38" i="2"/>
  <c r="L36" i="2"/>
  <c r="K61" i="2"/>
  <c r="I35" i="2"/>
  <c r="B11" i="4"/>
  <c r="B20" i="4"/>
  <c r="I27" i="2"/>
  <c r="I76" i="2"/>
  <c r="L16" i="2"/>
  <c r="B10" i="4"/>
  <c r="J6" i="2"/>
  <c r="J8" i="2"/>
  <c r="L88" i="2"/>
  <c r="K9" i="2"/>
  <c r="J21" i="2"/>
  <c r="K82" i="2"/>
  <c r="J80" i="2"/>
  <c r="L31" i="2"/>
  <c r="L92" i="2"/>
  <c r="I17" i="2"/>
  <c r="L74" i="2"/>
  <c r="J82" i="2"/>
  <c r="K29" i="2"/>
  <c r="K67" i="2"/>
  <c r="I52" i="2"/>
  <c r="J84" i="2"/>
  <c r="L6" i="2"/>
  <c r="L65" i="2"/>
  <c r="B12" i="4"/>
  <c r="J101" i="2"/>
  <c r="K22" i="2"/>
  <c r="N22" i="2" s="1"/>
  <c r="J89" i="2"/>
  <c r="K71" i="2"/>
  <c r="J94" i="2"/>
  <c r="L33" i="2"/>
  <c r="K72" i="2"/>
  <c r="I103" i="2"/>
  <c r="M103" i="2" s="1"/>
  <c r="J7" i="2"/>
  <c r="K34" i="2"/>
  <c r="J78" i="2"/>
  <c r="I71" i="2"/>
  <c r="L78" i="2"/>
  <c r="K94" i="2"/>
  <c r="I65" i="2"/>
  <c r="M65" i="2" s="1"/>
  <c r="I86" i="2"/>
  <c r="I34" i="2"/>
  <c r="A15" i="4"/>
  <c r="J15" i="2"/>
  <c r="I90" i="2"/>
  <c r="I93" i="2"/>
  <c r="J30" i="2"/>
  <c r="J33" i="2"/>
  <c r="J44" i="2"/>
  <c r="J27" i="2"/>
  <c r="L90" i="2"/>
  <c r="L60" i="2"/>
  <c r="J95" i="2"/>
  <c r="I78" i="2"/>
  <c r="L52" i="2"/>
  <c r="K28" i="2"/>
  <c r="J75" i="2"/>
  <c r="K85" i="2"/>
  <c r="J32" i="2"/>
  <c r="L57" i="2"/>
  <c r="K102" i="2"/>
  <c r="N102" i="2" s="1"/>
  <c r="D78" i="2"/>
  <c r="N78" i="2" s="1"/>
  <c r="C79" i="2"/>
  <c r="M77" i="2"/>
  <c r="N77" i="2"/>
  <c r="N48" i="2"/>
  <c r="D55" i="2"/>
  <c r="C56" i="2"/>
  <c r="N54" i="2"/>
  <c r="M54" i="2"/>
  <c r="M63" i="2"/>
  <c r="N63" i="2"/>
  <c r="M62" i="2"/>
  <c r="N62" i="2"/>
  <c r="M5" i="2"/>
  <c r="N5" i="2"/>
  <c r="C30" i="2"/>
  <c r="D30" i="2" s="1"/>
  <c r="M44" i="2"/>
  <c r="N44" i="2"/>
  <c r="M43" i="2"/>
  <c r="N43" i="2"/>
  <c r="N6" i="2"/>
  <c r="M6" i="2"/>
  <c r="N28" i="2"/>
  <c r="M28" i="2"/>
  <c r="N90" i="2"/>
  <c r="M90" i="2"/>
  <c r="C92" i="2"/>
  <c r="D92" i="2" s="1"/>
  <c r="M83" i="2"/>
  <c r="N83" i="2"/>
  <c r="C85" i="2"/>
  <c r="D85" i="2" s="1"/>
  <c r="M51" i="2"/>
  <c r="N51" i="2"/>
  <c r="M50" i="2"/>
  <c r="N50" i="2"/>
  <c r="C68" i="2"/>
  <c r="D68" i="2" s="1"/>
  <c r="C24" i="2"/>
  <c r="D24" i="2" s="1"/>
  <c r="A4" i="4"/>
  <c r="I2" i="2"/>
  <c r="B4" i="4"/>
  <c r="J2" i="2"/>
  <c r="L2" i="2"/>
  <c r="K2" i="2"/>
  <c r="I70" i="2" l="1"/>
  <c r="K91" i="2"/>
  <c r="I46" i="2"/>
  <c r="I69" i="2"/>
  <c r="K50" i="2"/>
  <c r="J40" i="2"/>
  <c r="J54" i="2"/>
  <c r="I68" i="2"/>
  <c r="L26" i="2"/>
  <c r="I12" i="2"/>
  <c r="M12" i="2" s="1"/>
  <c r="L66" i="2"/>
  <c r="I8" i="2"/>
  <c r="A20" i="4"/>
  <c r="A13" i="4"/>
  <c r="B23" i="4"/>
  <c r="A8" i="4"/>
  <c r="L3" i="2"/>
  <c r="I48" i="2"/>
  <c r="L71" i="2"/>
  <c r="I80" i="2"/>
  <c r="L35" i="2"/>
  <c r="I40" i="2"/>
  <c r="J63" i="2"/>
  <c r="A6" i="4"/>
  <c r="L75" i="2"/>
  <c r="L103" i="2"/>
  <c r="J12" i="2"/>
  <c r="I97" i="2"/>
  <c r="M97" i="2" s="1"/>
  <c r="K99" i="2"/>
  <c r="N99" i="2" s="1"/>
  <c r="K51" i="2"/>
  <c r="B6" i="4"/>
  <c r="D56" i="2"/>
  <c r="C57" i="2"/>
  <c r="D79" i="2"/>
  <c r="C80" i="2"/>
  <c r="D80" i="2" s="1"/>
  <c r="M55" i="2"/>
  <c r="N55" i="2"/>
  <c r="M78" i="2"/>
  <c r="L22" i="2"/>
  <c r="K83" i="2"/>
  <c r="I56" i="2"/>
  <c r="K7" i="2"/>
  <c r="K79" i="2"/>
  <c r="L42" i="2"/>
  <c r="I41" i="2"/>
  <c r="K23" i="2"/>
  <c r="N23" i="2" s="1"/>
  <c r="L40" i="2"/>
  <c r="J50" i="2"/>
  <c r="I79" i="2"/>
  <c r="I28" i="2"/>
  <c r="K74" i="2"/>
  <c r="J102" i="2"/>
  <c r="I73" i="2"/>
  <c r="I37" i="2"/>
  <c r="J77" i="2"/>
  <c r="J13" i="2"/>
  <c r="I58" i="2"/>
  <c r="L55" i="2"/>
  <c r="K60" i="2"/>
  <c r="L49" i="2"/>
  <c r="J62" i="2"/>
  <c r="J22" i="2"/>
  <c r="L25" i="2"/>
  <c r="L43" i="2"/>
  <c r="I92" i="2"/>
  <c r="K16" i="2"/>
  <c r="K38" i="2"/>
  <c r="B9" i="4"/>
  <c r="I61" i="2"/>
  <c r="K78" i="2"/>
  <c r="K100" i="2"/>
  <c r="J51" i="2"/>
  <c r="L32" i="2"/>
  <c r="L77" i="2"/>
  <c r="L54" i="2"/>
  <c r="I94" i="2"/>
  <c r="K90" i="2"/>
  <c r="L13" i="2"/>
  <c r="K32" i="2"/>
  <c r="N32" i="2" s="1"/>
  <c r="L105" i="2"/>
  <c r="K36" i="2"/>
  <c r="L94" i="2"/>
  <c r="I23" i="2"/>
  <c r="M23" i="2" s="1"/>
  <c r="J66" i="2"/>
  <c r="J39" i="2"/>
  <c r="K33" i="2"/>
  <c r="N33" i="2" s="1"/>
  <c r="L19" i="2"/>
  <c r="J36" i="2"/>
  <c r="K58" i="2"/>
  <c r="I60" i="2"/>
  <c r="J45" i="2"/>
  <c r="L97" i="2"/>
  <c r="K42" i="2"/>
  <c r="I64" i="2"/>
  <c r="M64" i="2" s="1"/>
  <c r="L56" i="2"/>
  <c r="J49" i="2"/>
  <c r="I16" i="2"/>
  <c r="L98" i="2"/>
  <c r="J79" i="2"/>
  <c r="I10" i="2"/>
  <c r="J105" i="2"/>
  <c r="L27" i="2"/>
  <c r="J86" i="2"/>
  <c r="J73" i="2"/>
  <c r="I82" i="2"/>
  <c r="I66" i="2"/>
  <c r="M66" i="2" s="1"/>
  <c r="L64" i="2"/>
  <c r="I33" i="2"/>
  <c r="M33" i="2" s="1"/>
  <c r="J99" i="2"/>
  <c r="L59" i="2"/>
  <c r="K96" i="2"/>
  <c r="N96" i="2" s="1"/>
  <c r="I32" i="2"/>
  <c r="M32" i="2" s="1"/>
  <c r="I67" i="2"/>
  <c r="L7" i="2"/>
  <c r="J106" i="2"/>
  <c r="K55" i="2"/>
  <c r="L89" i="2"/>
  <c r="I11" i="2"/>
  <c r="M11" i="2" s="1"/>
  <c r="K48" i="2"/>
  <c r="I95" i="2"/>
  <c r="M95" i="2" s="1"/>
  <c r="K53" i="2"/>
  <c r="I75" i="2"/>
  <c r="L104" i="2"/>
  <c r="K56" i="2"/>
  <c r="K64" i="2"/>
  <c r="N64" i="2" s="1"/>
  <c r="J47" i="2"/>
  <c r="L76" i="2"/>
  <c r="K69" i="2"/>
  <c r="I57" i="2"/>
  <c r="L14" i="2"/>
  <c r="J38" i="2"/>
  <c r="I9" i="2"/>
  <c r="C93" i="2"/>
  <c r="D93" i="2" s="1"/>
  <c r="N29" i="2"/>
  <c r="M29" i="2"/>
  <c r="M91" i="2"/>
  <c r="N91" i="2"/>
  <c r="M30" i="2"/>
  <c r="N30" i="2"/>
  <c r="M24" i="2"/>
  <c r="N24" i="2"/>
  <c r="C86" i="2"/>
  <c r="D86" i="2" s="1"/>
  <c r="M84" i="2"/>
  <c r="N84" i="2"/>
  <c r="C69" i="2"/>
  <c r="D69" i="2" s="1"/>
  <c r="M67" i="2"/>
  <c r="N67" i="2"/>
  <c r="N80" i="2" l="1"/>
  <c r="M80" i="2"/>
  <c r="M79" i="2"/>
  <c r="N79" i="2"/>
  <c r="D57" i="2"/>
  <c r="C58" i="2"/>
  <c r="D58" i="2" s="1"/>
  <c r="N56" i="2"/>
  <c r="M56" i="2"/>
  <c r="M92" i="2"/>
  <c r="N92" i="2"/>
  <c r="C94" i="2"/>
  <c r="D94" i="2" s="1"/>
  <c r="M85" i="2"/>
  <c r="N85" i="2"/>
  <c r="N86" i="2"/>
  <c r="M86" i="2"/>
  <c r="M69" i="2"/>
  <c r="N69" i="2"/>
  <c r="M68" i="2"/>
  <c r="N68" i="2"/>
  <c r="M58" i="2" l="1"/>
  <c r="N58" i="2"/>
  <c r="M57" i="2"/>
  <c r="N57" i="2"/>
  <c r="N94" i="2"/>
  <c r="M94" i="2"/>
  <c r="M93" i="2"/>
  <c r="N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 Clark</author>
  </authors>
  <commentList>
    <comment ref="A1" authorId="0" shapeId="0" xr:uid="{26A0357A-3934-4409-9AAF-CC593B1D336A}">
      <text>
        <r>
          <rPr>
            <b/>
            <sz val="9"/>
            <color indexed="81"/>
            <rFont val="Tahoma"/>
            <family val="2"/>
          </rPr>
          <t>WARNING! FORMULAS!</t>
        </r>
        <r>
          <rPr>
            <sz val="9"/>
            <color indexed="81"/>
            <rFont val="Tahoma"/>
            <family val="2"/>
          </rPr>
          <t xml:space="preserve">
Do not paste in Blue Cells!</t>
        </r>
      </text>
    </comment>
    <comment ref="D1" authorId="0" shapeId="0" xr:uid="{20696605-DDEE-4179-9929-ED880A871CD7}">
      <text>
        <r>
          <rPr>
            <sz val="9"/>
            <color indexed="81"/>
            <rFont val="Tahoma"/>
            <family val="2"/>
          </rPr>
          <t>Alternative Formula adds "Y" to current payroll pasted data (without Prior Year FICA). However this is unnecessary for as the excess amounts in column M and N should show up based on data from prior payrolls.
=IF(AND(IF(Y2="",VLOOKUP(A2,O:Y,11,0),Y2)&gt;=Setup!$A$9,C2&gt;=Setup!$A$10),"Y","N")</t>
        </r>
      </text>
    </comment>
    <comment ref="O1" authorId="0" shapeId="0" xr:uid="{686BB75E-5EFA-4E3C-8437-31932E4FFE4B}">
      <text>
        <r>
          <rPr>
            <sz val="9"/>
            <color indexed="81"/>
            <rFont val="Tahoma"/>
            <family val="2"/>
          </rPr>
          <t>&lt;-- Paste Retirement Administrator Dashboard download data here (Cell O1)</t>
        </r>
      </text>
    </comment>
    <comment ref="O100" authorId="0" shapeId="0" xr:uid="{F3564E28-660B-44E4-B061-C3CE0400C43D}">
      <text>
        <r>
          <rPr>
            <b/>
            <sz val="9"/>
            <color indexed="81"/>
            <rFont val="Tahoma"/>
            <family val="2"/>
          </rPr>
          <t>Steven Clark:</t>
        </r>
        <r>
          <rPr>
            <sz val="9"/>
            <color indexed="81"/>
            <rFont val="Tahoma"/>
            <family val="2"/>
          </rPr>
          <t xml:space="preserve">
This row and below is what data might look like, pulling current payroll data into the report.</t>
        </r>
      </text>
    </comment>
  </commentList>
</comments>
</file>

<file path=xl/sharedStrings.xml><?xml version="1.0" encoding="utf-8"?>
<sst xmlns="http://schemas.openxmlformats.org/spreadsheetml/2006/main" count="604" uniqueCount="165">
  <si>
    <t>Deduction Groups</t>
  </si>
  <si>
    <t>Code</t>
  </si>
  <si>
    <t>Description</t>
  </si>
  <si>
    <t>Main Roth</t>
  </si>
  <si>
    <t>Main Traditional</t>
  </si>
  <si>
    <t>Employee Fidelity 403B %</t>
  </si>
  <si>
    <t>Employee TIAA 403B %</t>
  </si>
  <si>
    <t>Employee URS 401K $</t>
  </si>
  <si>
    <t>Employee Fidelity 403B $</t>
  </si>
  <si>
    <t>Empr Pub Safety Tier2 DC 401K</t>
  </si>
  <si>
    <t>Employee URS 401K %</t>
  </si>
  <si>
    <t>Employee TIAA 403B $</t>
  </si>
  <si>
    <t>Empr Pub Safety Tier 2DB 401K</t>
  </si>
  <si>
    <t>Employee Roth TIAA 403 $</t>
  </si>
  <si>
    <t>Employee Roth Fidelity 403 $</t>
  </si>
  <si>
    <t>Employee Roth TIAA 403 %</t>
  </si>
  <si>
    <t>Employee Roth Fidelity 403 %</t>
  </si>
  <si>
    <t>Employee URS 457 %</t>
  </si>
  <si>
    <t>Employee TIAA 457 %</t>
  </si>
  <si>
    <t>Employee Fidelity 457 $</t>
  </si>
  <si>
    <t>Employee Fidelity 457 %</t>
  </si>
  <si>
    <t>Employee URS 457 $</t>
  </si>
  <si>
    <t>Employee TIAA 457 $</t>
  </si>
  <si>
    <t>Employee Roth TIAA 457 $</t>
  </si>
  <si>
    <t>Employee Roth Fidelity 457 $</t>
  </si>
  <si>
    <t>Employee Roth URS 401 $</t>
  </si>
  <si>
    <t>Employee Roth URS 457 $</t>
  </si>
  <si>
    <t>Employee Roth TIAA 457 %</t>
  </si>
  <si>
    <t>Employee Roth Fidelity 457 %</t>
  </si>
  <si>
    <t>Employee Roth URS 401 %</t>
  </si>
  <si>
    <t>Employee Roth URS 457 %</t>
  </si>
  <si>
    <t>&lt;-- Standard Contribution Limit</t>
  </si>
  <si>
    <t>&lt;-- Prior Year FICA Threshhold</t>
  </si>
  <si>
    <t>Name</t>
  </si>
  <si>
    <t>Age</t>
  </si>
  <si>
    <t>Benefit Code</t>
  </si>
  <si>
    <t>Benefit Description</t>
  </si>
  <si>
    <t>Main Pretax</t>
  </si>
  <si>
    <t>457 Roth</t>
  </si>
  <si>
    <t>Row Labels</t>
  </si>
  <si>
    <t>Grand Total</t>
  </si>
  <si>
    <t>Sum of Main Pretax</t>
  </si>
  <si>
    <t>Sum Main Pretax</t>
  </si>
  <si>
    <t>Sum Main Roth</t>
  </si>
  <si>
    <t>Sum 457 Roth</t>
  </si>
  <si>
    <t>Banner Id</t>
  </si>
  <si>
    <t>Combined Limit Description</t>
  </si>
  <si>
    <t>Employee Amount YTD</t>
  </si>
  <si>
    <t>Employer Amount YTD</t>
  </si>
  <si>
    <t>Applicable Gross Amount YTD</t>
  </si>
  <si>
    <t>Current Year FICA Gross</t>
  </si>
  <si>
    <t>Prior Year FICA Gross</t>
  </si>
  <si>
    <t>503</t>
  </si>
  <si>
    <t>Tier 2 Utah Retirement Systems Employee Contribution</t>
  </si>
  <si>
    <t>505</t>
  </si>
  <si>
    <t>Tier 2 Utah Retirement Systems Employer Contribution</t>
  </si>
  <si>
    <t>504</t>
  </si>
  <si>
    <t>Tier 2 Utah Retirement Systems 401(k)  Employer Contribution</t>
  </si>
  <si>
    <t>657</t>
  </si>
  <si>
    <t>TIAA Retirement 403(b) Employee Contribution</t>
  </si>
  <si>
    <t>RT_C50, Catch-up over 50</t>
  </si>
  <si>
    <t>653</t>
  </si>
  <si>
    <t>Utah Retirement Systems 401(k) Employee Contribution</t>
  </si>
  <si>
    <t>521</t>
  </si>
  <si>
    <t>TIAA Retirement Employer Contribution</t>
  </si>
  <si>
    <t>RT_EE_BF, ER Contr EE Hire Before 2/1/21</t>
  </si>
  <si>
    <t>TIAA Retirement Roth 457(b) Employee Contribution</t>
  </si>
  <si>
    <t>525</t>
  </si>
  <si>
    <t>Fidelity Retirement Employer Contribution</t>
  </si>
  <si>
    <t>506</t>
  </si>
  <si>
    <t>Tier 1 Utah Retirement Systems Employer Contribution</t>
  </si>
  <si>
    <t>507</t>
  </si>
  <si>
    <t>Tier 1 Utah Retirement Systems 401(k) Employer Contribution</t>
  </si>
  <si>
    <t>553</t>
  </si>
  <si>
    <t>590</t>
  </si>
  <si>
    <t>Utah Retirement Systems 401(k) Loan Repayment</t>
  </si>
  <si>
    <t>531</t>
  </si>
  <si>
    <t>Tier 2 Utah Retirement Systems 401(k) Employer Contribution</t>
  </si>
  <si>
    <t>530</t>
  </si>
  <si>
    <t>656</t>
  </si>
  <si>
    <t>Fidelity Retirement 403(b) Employee Contribution</t>
  </si>
  <si>
    <t>RT_EE_AF, ER Contr EE Hire After 1/31/21</t>
  </si>
  <si>
    <t>571</t>
  </si>
  <si>
    <t>554</t>
  </si>
  <si>
    <t>TIAA Retirement 457(b) Employee Contribution</t>
  </si>
  <si>
    <t>565</t>
  </si>
  <si>
    <t>TIAA Retirement Roth 403(b) Employee Contribution</t>
  </si>
  <si>
    <t>557</t>
  </si>
  <si>
    <t>566</t>
  </si>
  <si>
    <t>Fidelity Retirement Roth 403(b) Employee Contribution</t>
  </si>
  <si>
    <t>569</t>
  </si>
  <si>
    <t>Fidelity Retirement 457(b) Employee Contribution</t>
  </si>
  <si>
    <t>572</t>
  </si>
  <si>
    <t>Fidelity Retirement Roth 457(b) Employee Contribution</t>
  </si>
  <si>
    <t>556</t>
  </si>
  <si>
    <t>RT_C60, Catch-up 60-63</t>
  </si>
  <si>
    <t>522</t>
  </si>
  <si>
    <t>TIAA 401a (Phased Retirement Portion)</t>
  </si>
  <si>
    <t>552</t>
  </si>
  <si>
    <t>Utah Retirement Systems 457(b) Employee Contribution</t>
  </si>
  <si>
    <t>513</t>
  </si>
  <si>
    <t>Tier 1 Utah Retirement Systems Public Safety Employer Amortization</t>
  </si>
  <si>
    <t>652</t>
  </si>
  <si>
    <t>(blank)</t>
  </si>
  <si>
    <t>Main Excess</t>
  </si>
  <si>
    <t>457 Excess</t>
  </si>
  <si>
    <t>High Earner</t>
  </si>
  <si>
    <t>ID</t>
  </si>
  <si>
    <t>Sum 457 Pretax</t>
  </si>
  <si>
    <t>457 Pretax</t>
  </si>
  <si>
    <t>Sum of 457 Pretax</t>
  </si>
  <si>
    <t>V   FORMULAS   V</t>
  </si>
  <si>
    <t>V   Pivot Table   V</t>
  </si>
  <si>
    <t>A00000001</t>
  </si>
  <si>
    <t/>
  </si>
  <si>
    <t>A00000002</t>
  </si>
  <si>
    <t>A00000003</t>
  </si>
  <si>
    <t>A00000004</t>
  </si>
  <si>
    <t>A00000005</t>
  </si>
  <si>
    <t>A00000006</t>
  </si>
  <si>
    <t>A00000007</t>
  </si>
  <si>
    <t>A00000008</t>
  </si>
  <si>
    <t>A00000009</t>
  </si>
  <si>
    <t>A00000010</t>
  </si>
  <si>
    <t>A00000011</t>
  </si>
  <si>
    <t>A00000012</t>
  </si>
  <si>
    <t>A00000013</t>
  </si>
  <si>
    <t>A00000014</t>
  </si>
  <si>
    <t>A00000015</t>
  </si>
  <si>
    <t>A00000016</t>
  </si>
  <si>
    <t>A00000017</t>
  </si>
  <si>
    <t>A00000018</t>
  </si>
  <si>
    <t>Aaron J. Whitfield</t>
  </si>
  <si>
    <t>Hannah Lowell Reed</t>
  </si>
  <si>
    <t>Marcus T. O’Neill</t>
  </si>
  <si>
    <t>Priya Malhotra</t>
  </si>
  <si>
    <t>Victor Santiago Perez</t>
  </si>
  <si>
    <t>Benjamin A. Foster</t>
  </si>
  <si>
    <t>Claire Elizabeth Monroe</t>
  </si>
  <si>
    <t>Daniel R. Holloway</t>
  </si>
  <si>
    <t>Emily J. Harrington</t>
  </si>
  <si>
    <t>Isaac P. Nakamura</t>
  </si>
  <si>
    <t>Jordan Blake Thompson</t>
  </si>
  <si>
    <t>Lina M. Alvarez</t>
  </si>
  <si>
    <t>Melissa Anne Carter</t>
  </si>
  <si>
    <t>Naomi K. Rosen</t>
  </si>
  <si>
    <t>Omar N. Khalid</t>
  </si>
  <si>
    <t>Sofia Del Pilar Cruz</t>
  </si>
  <si>
    <t>Thomas Edward Grayson</t>
  </si>
  <si>
    <t>Valentina Ruiz</t>
  </si>
  <si>
    <t>About this File</t>
  </si>
  <si>
    <t>Current Year Variables</t>
  </si>
  <si>
    <t>&lt;-- Age catch-ups begin at age</t>
  </si>
  <si>
    <t>Excess Main Pretax</t>
  </si>
  <si>
    <t>Excess 457 Pretax</t>
  </si>
  <si>
    <t>457 Traditional</t>
  </si>
  <si>
    <t>Employee Federal TSP %</t>
  </si>
  <si>
    <t>Employer URS 401K T1</t>
  </si>
  <si>
    <t>Employee Federal TSP $</t>
  </si>
  <si>
    <t>Empr URS T2 DC 401k</t>
  </si>
  <si>
    <t>Employer Fed TSP</t>
  </si>
  <si>
    <t>Employer URS 401K T2</t>
  </si>
  <si>
    <t>Employee Roth Fed TSP</t>
  </si>
  <si>
    <t>Spreadsheet modified to meet the needs of [INSTITUTION] by [ExcelGuruNameHere]</t>
  </si>
  <si>
    <r>
      <t xml:space="preserve">This workbook will summarize and analyze data downloaded from the Retirement Administrator dashboard in Ellucian's Employee Self Service. 
1) </t>
    </r>
    <r>
      <rPr>
        <b/>
        <sz val="11"/>
        <color theme="1"/>
        <rFont val="Aptos Narrow"/>
        <family val="2"/>
        <scheme val="minor"/>
      </rPr>
      <t>Update green cells</t>
    </r>
    <r>
      <rPr>
        <sz val="11"/>
        <color theme="1"/>
        <rFont val="Aptos Narrow"/>
        <family val="2"/>
        <scheme val="minor"/>
      </rPr>
      <t xml:space="preserve"> on this tab with correct data. 
2) </t>
    </r>
    <r>
      <rPr>
        <b/>
        <sz val="11"/>
        <color theme="1"/>
        <rFont val="Aptos Narrow"/>
        <family val="2"/>
        <scheme val="minor"/>
      </rPr>
      <t xml:space="preserve">Paste in cell O1 </t>
    </r>
    <r>
      <rPr>
        <sz val="11"/>
        <color theme="1"/>
        <rFont val="Aptos Narrow"/>
        <family val="2"/>
        <scheme val="minor"/>
      </rPr>
      <t xml:space="preserve">of the data tab the records from the Retire Administrator dasbboard download (Age 50+)
3)  </t>
    </r>
    <r>
      <rPr>
        <b/>
        <sz val="11"/>
        <color theme="1"/>
        <rFont val="Aptos Narrow"/>
        <family val="2"/>
        <scheme val="minor"/>
      </rPr>
      <t>Refresh the Pivot table</t>
    </r>
    <r>
      <rPr>
        <sz val="11"/>
        <color theme="1"/>
        <rFont val="Aptos Narrow"/>
        <family val="2"/>
        <scheme val="minor"/>
      </rPr>
      <t xml:space="preserve"> on the Pivot tab 
4) </t>
    </r>
    <r>
      <rPr>
        <b/>
        <sz val="11"/>
        <color theme="1"/>
        <rFont val="Aptos Narrow"/>
        <family val="2"/>
        <scheme val="minor"/>
      </rPr>
      <t>IMPORTANT! Make sure formulas (blue cells) copy down to the last record</t>
    </r>
    <r>
      <rPr>
        <sz val="11"/>
        <color theme="1"/>
        <rFont val="Aptos Narrow"/>
        <family val="2"/>
        <scheme val="minor"/>
      </rPr>
      <t xml:space="preserve"> on both the Data (columns A:N) and Pivot (A:B) tabs
Conditional formatting will highlight cells red (Data M:N or Pivot A:B) if an employee med the FICA threshold and has exceeded the standard contribution limit in pretax deductions.
NOTE: As of April 2026 the retirement dashboard only contains contributions finalized in Payroll. Due to this limitation, you may need to find a way to extract current payroll contributions and add them on the same data worksheet, under the data from the retirement dashboard, keeping data in the correct columns.
Original workbook created by Steven Clark at Utah State University.
- License and Copyright: https://github.com/KL4RKS/banner-scripts/blob/main/LICENSE
- Addional Secure 2.0 files and instructions can be found in the following GitHub folder: https://github.com/KL4RKS/banner-scripts/tree/main/hr/secure2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</si>
</sst>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quot;$&quot;* #,##0_);_(&quot;$&quot;* \(#,##0\);_(&quot;$&quot;* &quot;-&quot;??_);_(@_)"/>
  </numFmts>
  <fonts count="7"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
      <b/>
      <sz val="22"/>
      <color theme="0"/>
      <name val="Aptos Narrow"/>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1"/>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bgColor indexed="64"/>
      </patternFill>
    </fill>
    <fill>
      <patternFill patternType="solid">
        <fgColor theme="4" tint="0.39997558519241921"/>
        <bgColor indexed="64"/>
      </patternFill>
    </fill>
    <fill>
      <patternFill patternType="solid">
        <fgColor theme="9"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9" borderId="0" applyNumberFormat="0" applyBorder="0" applyAlignment="0" applyProtection="0"/>
  </cellStyleXfs>
  <cellXfs count="45">
    <xf numFmtId="0" fontId="0" fillId="0" borderId="0" xfId="0"/>
    <xf numFmtId="49" fontId="3" fillId="9" borderId="0" xfId="6" applyNumberFormat="1" applyFont="1" applyAlignment="1" applyProtection="1">
      <alignment vertical="top" wrapText="1"/>
      <protection locked="0"/>
    </xf>
    <xf numFmtId="49" fontId="3" fillId="0" borderId="0" xfId="0" applyNumberFormat="1" applyFont="1" applyAlignment="1" applyProtection="1">
      <alignment vertical="top" wrapText="1"/>
      <protection locked="0"/>
    </xf>
    <xf numFmtId="43" fontId="3" fillId="0" borderId="0" xfId="1" applyFont="1" applyAlignment="1" applyProtection="1">
      <alignment vertical="top" wrapText="1"/>
      <protection locked="0"/>
    </xf>
    <xf numFmtId="49" fontId="0" fillId="0" borderId="0" xfId="0" applyNumberFormat="1" applyProtection="1">
      <protection locked="0"/>
    </xf>
    <xf numFmtId="43" fontId="0" fillId="0" borderId="0" xfId="1" applyFont="1" applyProtection="1">
      <protection locked="0"/>
    </xf>
    <xf numFmtId="0" fontId="0" fillId="0" borderId="0" xfId="0" applyProtection="1">
      <protection locked="0"/>
    </xf>
    <xf numFmtId="0" fontId="0" fillId="0" borderId="0" xfId="0" pivotButton="1" applyProtection="1">
      <protection locked="0"/>
    </xf>
    <xf numFmtId="0" fontId="0" fillId="0" borderId="0" xfId="0" applyAlignment="1" applyProtection="1">
      <alignment horizontal="left"/>
      <protection locked="0"/>
    </xf>
    <xf numFmtId="164" fontId="0" fillId="0" borderId="0" xfId="1" applyNumberFormat="1" applyFont="1" applyProtection="1">
      <protection locked="0"/>
    </xf>
    <xf numFmtId="0" fontId="1" fillId="5" borderId="0" xfId="4" applyProtection="1">
      <protection locked="0"/>
    </xf>
    <xf numFmtId="164" fontId="1" fillId="5" borderId="0" xfId="4" applyNumberFormat="1" applyProtection="1">
      <protection locked="0"/>
    </xf>
    <xf numFmtId="0" fontId="4" fillId="0" borderId="0" xfId="0" applyFont="1" applyAlignment="1" applyProtection="1">
      <alignment horizontal="center"/>
      <protection locked="0"/>
    </xf>
    <xf numFmtId="164" fontId="2" fillId="4" borderId="0" xfId="2" applyNumberFormat="1" applyFill="1" applyAlignment="1" applyProtection="1">
      <alignment horizontal="center"/>
      <protection locked="0"/>
    </xf>
    <xf numFmtId="164" fontId="2" fillId="4" borderId="0" xfId="2" applyNumberFormat="1" applyFill="1" applyProtection="1">
      <protection locked="0"/>
    </xf>
    <xf numFmtId="164" fontId="1" fillId="9" borderId="1" xfId="6" applyNumberFormat="1" applyBorder="1" applyProtection="1">
      <protection locked="0"/>
    </xf>
    <xf numFmtId="164" fontId="2" fillId="4" borderId="1" xfId="2" applyNumberFormat="1" applyFill="1" applyBorder="1" applyProtection="1">
      <protection locked="0"/>
    </xf>
    <xf numFmtId="0" fontId="1" fillId="9" borderId="1" xfId="6" applyBorder="1" applyProtection="1">
      <protection locked="0"/>
    </xf>
    <xf numFmtId="0" fontId="2" fillId="4" borderId="1" xfId="2" applyFill="1" applyBorder="1" applyProtection="1">
      <protection locked="0"/>
    </xf>
    <xf numFmtId="164" fontId="1" fillId="6" borderId="0" xfId="5" applyNumberFormat="1" applyProtection="1"/>
    <xf numFmtId="0" fontId="3" fillId="0" borderId="0" xfId="0" applyFont="1" applyProtection="1">
      <protection locked="0"/>
    </xf>
    <xf numFmtId="43" fontId="1" fillId="6" borderId="0" xfId="1" applyFill="1" applyProtection="1">
      <protection locked="0"/>
    </xf>
    <xf numFmtId="43" fontId="1" fillId="5" borderId="0" xfId="1" applyFill="1" applyProtection="1">
      <protection locked="0"/>
    </xf>
    <xf numFmtId="0" fontId="3" fillId="5" borderId="0" xfId="4" applyFont="1" applyAlignment="1" applyProtection="1">
      <alignment vertical="top" wrapText="1"/>
    </xf>
    <xf numFmtId="43" fontId="3" fillId="6" borderId="0" xfId="1" applyFont="1" applyFill="1" applyAlignment="1" applyProtection="1">
      <alignment vertical="top" wrapText="1"/>
    </xf>
    <xf numFmtId="43" fontId="3" fillId="5" borderId="0" xfId="1" applyFont="1" applyFill="1" applyAlignment="1" applyProtection="1">
      <alignment vertical="top" wrapText="1"/>
    </xf>
    <xf numFmtId="0" fontId="1" fillId="5" borderId="0" xfId="4" applyProtection="1"/>
    <xf numFmtId="43" fontId="1" fillId="6" borderId="0" xfId="1" applyFill="1" applyProtection="1"/>
    <xf numFmtId="43" fontId="1" fillId="5" borderId="0" xfId="1" applyFill="1" applyProtection="1"/>
    <xf numFmtId="43" fontId="0" fillId="0" borderId="0" xfId="1" applyFont="1" applyProtection="1"/>
    <xf numFmtId="43" fontId="1" fillId="6" borderId="0" xfId="5" applyNumberFormat="1" applyProtection="1">
      <protection locked="0"/>
    </xf>
    <xf numFmtId="43" fontId="3" fillId="5" borderId="0" xfId="4" applyNumberFormat="1" applyFont="1" applyProtection="1"/>
    <xf numFmtId="43" fontId="1" fillId="6" borderId="0" xfId="5" applyNumberFormat="1" applyProtection="1"/>
    <xf numFmtId="0" fontId="0" fillId="5" borderId="0" xfId="4" applyFont="1" applyProtection="1">
      <protection locked="0"/>
    </xf>
    <xf numFmtId="164" fontId="4" fillId="2" borderId="0" xfId="2" applyNumberFormat="1" applyFont="1" applyAlignment="1" applyProtection="1">
      <alignment horizontal="center"/>
    </xf>
    <xf numFmtId="49" fontId="0" fillId="5" borderId="0" xfId="4" applyNumberFormat="1" applyFont="1" applyAlignment="1" applyProtection="1">
      <alignment horizontal="left" vertical="center" wrapText="1"/>
    </xf>
    <xf numFmtId="49" fontId="1" fillId="5" borderId="0" xfId="4" applyNumberFormat="1" applyAlignment="1" applyProtection="1">
      <alignment horizontal="left" vertical="center" wrapText="1"/>
    </xf>
    <xf numFmtId="164" fontId="1" fillId="3" borderId="0" xfId="3" applyNumberFormat="1" applyAlignment="1" applyProtection="1">
      <alignment horizontal="center"/>
    </xf>
    <xf numFmtId="164" fontId="1" fillId="9" borderId="0" xfId="6" applyNumberFormat="1" applyAlignment="1" applyProtection="1">
      <alignment horizontal="right"/>
      <protection locked="0"/>
    </xf>
    <xf numFmtId="0" fontId="4" fillId="7" borderId="0" xfId="0" applyFont="1" applyFill="1" applyAlignment="1">
      <alignment horizontal="center"/>
    </xf>
    <xf numFmtId="165" fontId="1" fillId="9" borderId="0" xfId="6" applyNumberFormat="1" applyAlignment="1" applyProtection="1">
      <alignment horizontal="center"/>
      <protection locked="0"/>
    </xf>
    <xf numFmtId="49" fontId="0" fillId="9" borderId="0" xfId="6" applyNumberFormat="1" applyFont="1" applyAlignment="1" applyProtection="1">
      <alignment horizontal="left" vertical="center" wrapText="1"/>
      <protection locked="0"/>
    </xf>
    <xf numFmtId="49" fontId="1" fillId="9" borderId="0" xfId="6" applyNumberFormat="1" applyAlignment="1" applyProtection="1">
      <alignment horizontal="left" vertical="center" wrapText="1"/>
      <protection locked="0"/>
    </xf>
    <xf numFmtId="43" fontId="0" fillId="8" borderId="0" xfId="1" applyFont="1" applyFill="1" applyAlignment="1" applyProtection="1">
      <alignment horizontal="center"/>
    </xf>
    <xf numFmtId="0" fontId="0" fillId="0" borderId="0" xfId="0" applyNumberFormat="1" applyProtection="1">
      <protection locked="0"/>
    </xf>
  </cellXfs>
  <cellStyles count="7">
    <cellStyle name="20% - Accent1" xfId="4" builtinId="30"/>
    <cellStyle name="20% - Accent6" xfId="6" builtinId="50"/>
    <cellStyle name="40% - Accent1" xfId="5" builtinId="31"/>
    <cellStyle name="60% - Accent1" xfId="3" builtinId="32"/>
    <cellStyle name="Accent1" xfId="2" builtinId="29"/>
    <cellStyle name="Comma" xfId="1" builtinId="3"/>
    <cellStyle name="Normal" xfId="0" builtinId="0"/>
  </cellStyles>
  <dxfs count="28">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protection locked="0"/>
    </dxf>
    <dxf>
      <protection locked="0"/>
    </dxf>
    <dxf>
      <protection locked="0"/>
    </dxf>
    <dxf>
      <protection locked="0"/>
    </dxf>
    <dxf>
      <protection locked="0"/>
    </dxf>
    <dxf>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Clark" refreshedDate="46127.065531018518" createdVersion="8" refreshedVersion="8" minRefreshableVersion="3" recordCount="107" xr:uid="{8105AC01-667A-4211-8108-3D766CEC42A6}">
  <cacheSource type="worksheet">
    <worksheetSource ref="A1:H1048576" sheet="Data"/>
  </cacheSource>
  <cacheFields count="8">
    <cacheField name="ID" numFmtId="0">
      <sharedItems containsBlank="1" count="1521">
        <s v="A00000001"/>
        <s v="A00000002"/>
        <s v="A00000003"/>
        <s v="A00000004"/>
        <s v="A00000005"/>
        <s v="A00000006"/>
        <s v="A00000007"/>
        <s v="A00000008"/>
        <s v="A00000009"/>
        <s v="A00000010"/>
        <s v="A00000011"/>
        <s v="A00000012"/>
        <s v="A00000013"/>
        <s v="A00000014"/>
        <s v="A00000015"/>
        <s v="A00000016"/>
        <s v="A00000017"/>
        <s v="A00000018"/>
        <m/>
        <s v="A00301593" u="1"/>
        <s v="A00016887" u="1"/>
        <s v="A00016157" u="1"/>
        <s v="A00906739" u="1"/>
        <s v="A01440761" u="1"/>
        <s v="A01501505" u="1"/>
        <s v="A02344939" u="1"/>
        <s v="A00637608" u="1"/>
        <s v="A00804525" u="1"/>
        <s v="A00633132" u="1"/>
        <s v="A00018228" u="1"/>
        <s v="A00015329" u="1"/>
        <s v="A00015493" u="1"/>
        <s v="A02213466" u="1"/>
        <s v="A00964080" u="1"/>
        <s v="A00514034" u="1"/>
        <s v="A01878126" u="1"/>
        <s v="A02441792" u="1"/>
        <s v="A01650393" u="1"/>
        <s v="A02299833" u="1"/>
        <s v="A00346106" u="1"/>
        <s v="A00017051" u="1"/>
        <s v="A01110374" u="1"/>
        <s v="A00288068" u="1"/>
        <s v="A02427471" u="1"/>
        <s v="A00612245" u="1"/>
        <s v="A00345232" u="1"/>
        <s v="A00016674" u="1"/>
        <s v="A00016256" u="1"/>
        <s v="A02259926" u="1"/>
        <s v="A01972141" u="1"/>
        <s v="A00348791" u="1"/>
        <s v="A02327492" u="1"/>
        <s v="A02326714" u="1"/>
        <s v="A00016717" u="1"/>
        <s v="A00307029" u="1"/>
        <s v="A00573894" u="1"/>
        <s v="A01482536" u="1"/>
        <s v="A02421628" u="1"/>
        <s v="A00016232" u="1"/>
        <s v="A02276488" u="1"/>
        <s v="A00598650" u="1"/>
        <s v="A00678427" u="1"/>
        <s v="A02232145" u="1"/>
        <s v="A02091913" u="1"/>
        <s v="A00515387" u="1"/>
        <s v="A00015426" u="1"/>
        <s v="A00348717" u="1"/>
        <s v="A00017179" u="1"/>
        <s v="A00618740" u="1"/>
        <s v="A02342259" u="1"/>
        <s v="A01759613" u="1"/>
        <s v="A00292563" u="1"/>
        <s v="A00308334" u="1"/>
        <s v="A02227885" u="1"/>
        <s v="A00289567" u="1"/>
        <s v="A02176281" u="1"/>
        <s v="A00547540" u="1"/>
        <s v="A00353995" u="1"/>
        <s v="A00287902" u="1"/>
        <s v="A00314820" u="1"/>
        <s v="A00028232" u="1"/>
        <s v="A02426770" u="1"/>
        <s v="A00678093" u="1"/>
        <s v="A02327847" u="1"/>
        <s v="A02223462" u="1"/>
        <s v="A00016237" u="1"/>
        <s v="A00016693" u="1"/>
        <s v="A00932875" u="1"/>
        <s v="A02266335" u="1"/>
        <s v="A00292588" u="1"/>
        <s v="A00401202" u="1"/>
        <s v="A01807376" u="1"/>
        <s v="A00017705" u="1"/>
        <s v="A00017121" u="1"/>
        <s v="A00791202" u="1"/>
        <s v="A02455866" u="1"/>
        <s v="A00483713" u="1"/>
        <s v="A00616047" u="1"/>
        <s v="A02349549" u="1"/>
        <s v="A00519768" u="1"/>
        <s v="A02299233" u="1"/>
        <s v="A00017327" u="1"/>
        <s v="A00014687" u="1"/>
        <s v="A00294540" u="1"/>
        <s v="A01212727" u="1"/>
        <s v="A00018166" u="1"/>
        <s v="A00925539" u="1"/>
        <s v="A00015519" u="1"/>
        <s v="A00710376" u="1"/>
        <s v="A02316659" u="1"/>
        <s v="A02488509" u="1"/>
        <s v="A01892722" u="1"/>
        <s v="A00017358" u="1"/>
        <s v="A00016787" u="1"/>
        <s v="A01108245" u="1"/>
        <s v="A02462334" u="1"/>
        <s v="A00017222" u="1"/>
        <s v="A01111119" u="1"/>
        <s v="A00947612" u="1"/>
        <s v="A00483289" u="1"/>
        <s v="A00551733" u="1"/>
        <s v="A00015193" u="1"/>
        <s v="A00466331" u="1"/>
        <s v="A00599398" u="1"/>
        <s v="A00600871" u="1"/>
        <s v="A00017337" u="1"/>
        <s v="A00951207" u="1"/>
        <s v="A01833707" u="1"/>
        <s v="A00602053" u="1"/>
        <s v="A01108248" u="1"/>
        <s v="A00017669" u="1"/>
        <s v="A00017114" u="1"/>
        <s v="A01553557" u="1"/>
        <s v="A00600689" u="1"/>
        <s v="A01768761" u="1"/>
        <s v="A02183086" u="1"/>
        <s v="A00348857" u="1"/>
        <s v="A00628789" u="1"/>
        <s v="A00306253" u="1"/>
        <s v="A00290740" u="1"/>
        <s v="A02483270" u="1"/>
        <s v="A02292892" u="1"/>
        <s v="A01503186" u="1"/>
        <s v="A02241337" u="1"/>
        <s v="A00016782" u="1"/>
        <s v="A00015150" u="1"/>
        <s v="A00015767" u="1"/>
        <s v="A00799398" u="1"/>
        <s v="A00638660" u="1"/>
        <s v="A01633747" u="1"/>
        <s v="A00596563" u="1"/>
        <s v="A00470305" u="1"/>
        <s v="A00466093" u="1"/>
        <s v="A00978140" u="1"/>
        <s v="A00971023" u="1"/>
        <s v="A00791810" u="1"/>
        <s v="A02259169" u="1"/>
        <s v="A00541966" u="1"/>
        <s v="A00812617" u="1"/>
        <s v="A00016336" u="1"/>
        <s v="A00601930" u="1"/>
        <s v="A02243100" u="1"/>
        <s v="A00550068" u="1"/>
        <s v="A02397322" u="1"/>
        <s v="A00543022" u="1"/>
        <s v="A00028210" u="1"/>
        <s v="A00546923" u="1"/>
        <s v="A02486539" u="1"/>
        <s v="A00522392" u="1"/>
        <s v="A02396726" u="1"/>
        <s v="A00484957" u="1"/>
        <s v="A00016926" u="1"/>
        <s v="A00028213" u="1"/>
        <s v="A00455442" u="1"/>
        <s v="A02179513" u="1"/>
        <s v="A00014931" u="1"/>
        <s v="A00015389" u="1"/>
        <s v="A02443601" u="1"/>
        <s v="A01563703" u="1"/>
        <s v="A01542762" u="1"/>
        <s v="A02248829" u="1"/>
        <s v="A02483476" u="1"/>
        <s v="A00537162" u="1"/>
        <s v="A00015167" u="1"/>
        <s v="A02303687" u="1"/>
        <s v="A00015864" u="1"/>
        <s v="A00574928" u="1"/>
        <s v="A00348737" u="1"/>
        <s v="A00514578" u="1"/>
        <s v="A00346086" u="1"/>
        <s v="A02183196" u="1"/>
        <s v="A02481815" u="1"/>
        <s v="A00519742" u="1"/>
        <s v="A00467271" u="1"/>
        <s v="A00017507" u="1"/>
        <s v="A00015630" u="1"/>
        <s v="A00017037" u="1"/>
        <s v="A02483123" u="1"/>
        <s v="A00016676" u="1"/>
        <s v="A02335234" u="1"/>
        <s v="A00344487" u="1"/>
        <s v="A00015740" u="1"/>
        <s v="A00016258" u="1"/>
        <s v="A02400687" u="1"/>
        <s v="A00924039" u="1"/>
        <s v="A00941471" u="1"/>
        <s v="A00626092" u="1"/>
        <s v="A00653278" u="1"/>
        <s v="A02343983" u="1"/>
        <s v="A00016664" u="1"/>
        <s v="A00639256" u="1"/>
        <s v="A00018129" u="1"/>
        <s v="A01216346" u="1"/>
        <s v="A02294938" u="1"/>
        <s v="A00015715" u="1"/>
        <s v="A02326984" u="1"/>
        <s v="A00015709" u="1"/>
        <s v="A00346206" u="1"/>
        <s v="A00016713" u="1"/>
        <s v="A00017339" u="1"/>
        <s v="A00017399" u="1"/>
        <s v="A00017635" u="1"/>
        <s v="A00015518" u="1"/>
        <s v="A00447462" u="1"/>
        <s v="A00015355" u="1"/>
        <s v="A01111992" u="1"/>
        <s v="A00018214" u="1"/>
        <s v="A02426448" u="1"/>
        <s v="A01495958" u="1"/>
        <s v="A00014734" u="1"/>
        <s v="A00015897" u="1"/>
        <s v="A01285297" u="1"/>
        <s v="A01245682" u="1"/>
        <s v="A00453009" u="1"/>
        <s v="A00511787" u="1"/>
        <s v="A00017488" u="1"/>
        <s v="A02218381" u="1"/>
        <s v="A00015697" u="1"/>
        <s v="A02327266" u="1"/>
        <s v="A00015602" u="1"/>
        <s v="A00615894" u="1"/>
        <s v="A02273006" u="1"/>
        <s v="A00453313" u="1"/>
        <s v="A00287007" u="1"/>
        <s v="A00016774" u="1"/>
        <s v="A00308862" u="1"/>
        <s v="A00016012" u="1"/>
        <s v="A00017551" u="1"/>
        <s v="A01981260" u="1"/>
        <s v="A02492634" u="1"/>
        <s v="A00015301" u="1"/>
        <s v="A00344641" u="1"/>
        <s v="A00017581" u="1"/>
        <s v="A00300401" u="1"/>
        <s v="A00791778" u="1"/>
        <s v="A02337725" u="1"/>
        <s v="A01627336" u="1"/>
        <s v="A01166395" u="1"/>
        <s v="A00516278" u="1"/>
        <s v="A01210630" u="1"/>
        <s v="A02265955" u="1"/>
        <s v="A00608739" u="1"/>
        <s v="A01314623" u="1"/>
        <s v="A00288918" u="1"/>
        <s v="A02218456" u="1"/>
        <s v="A01702854" u="1"/>
        <s v="A00848714" u="1"/>
        <s v="A00344558" u="1"/>
        <s v="A00647100" u="1"/>
        <s v="A00015769" u="1"/>
        <s v="A02376037" u="1"/>
        <s v="A02433839" u="1"/>
        <s v="A00693042" u="1"/>
        <s v="A00016975" u="1"/>
        <s v="A00015142" u="1"/>
        <s v="A00016621" u="1"/>
        <s v="A00306976" u="1"/>
        <s v="A00792955" u="1"/>
        <s v="A02458303" u="1"/>
        <s v="A02063052" u="1"/>
        <s v="A00534824" u="1"/>
        <s v="A02261091" u="1"/>
        <s v="A00818520" u="1"/>
        <s v="A00018260" u="1"/>
        <s v="A00017033" u="1"/>
        <s v="A00506283" u="1"/>
        <s v="A00593082" u="1"/>
        <s v="A00589993" u="1"/>
        <s v="A02093870" u="1"/>
        <s v="A00791637" u="1"/>
        <s v="A00430119" u="1"/>
        <s v="A01501833" u="1"/>
        <s v="A00391631" u="1"/>
        <s v="A00568952" u="1"/>
        <s v="A00601894" u="1"/>
        <s v="A00710278" u="1"/>
        <s v="A00601496" u="1"/>
        <s v="A00016156" u="1"/>
        <s v="A00315669" u="1"/>
        <s v="A02350434" u="1"/>
        <s v="A01974404" u="1"/>
        <s v="A00015067" u="1"/>
        <s v="A00344774" u="1"/>
        <s v="A00313205" u="1"/>
        <s v="A00016601" u="1"/>
        <s v="A00289264" u="1"/>
        <s v="A02265809" u="1"/>
        <s v="A02325961" u="1"/>
        <s v="A00792072" u="1"/>
        <s v="A00485499" u="1"/>
        <s v="A00935683" u="1"/>
        <s v="A01956577" u="1"/>
        <s v="A00517064" u="1"/>
        <s v="A01213848" u="1"/>
        <s v="A01101408" u="1"/>
        <s v="A01771640" u="1"/>
        <s v="A00453405" u="1"/>
        <s v="A01165247" u="1"/>
        <s v="A00015695" u="1"/>
        <s v="A00414715" u="1"/>
        <s v="A00018245" u="1"/>
        <s v="A00315846" u="1"/>
        <s v="A00018216" u="1"/>
        <s v="A00015945" u="1"/>
        <s v="A00598619" u="1"/>
        <s v="A00015430" u="1"/>
        <s v="A02434162" u="1"/>
        <s v="A00317524" u="1"/>
        <s v="A00015873" u="1"/>
        <s v="A00015340" u="1"/>
        <s v="A00344753" u="1"/>
        <s v="A00016819" u="1"/>
        <s v="A00348689" u="1"/>
        <s v="A00633234" u="1"/>
        <s v="A00301031" u="1"/>
        <s v="A02170915" u="1"/>
        <s v="A00537831" u="1"/>
        <s v="A02312881" u="1"/>
        <s v="A02492335" u="1"/>
        <s v="A00016000" u="1"/>
        <s v="A00015080" u="1"/>
        <s v="A01974516" u="1"/>
        <s v="A01092917" u="1"/>
        <s v="A02258325" u="1"/>
        <s v="A00689560" u="1"/>
        <s v="A00389396" u="1"/>
        <s v="A00295636" u="1"/>
        <s v="A00624093" u="1"/>
        <s v="A02231485" u="1"/>
        <s v="A00455253" u="1"/>
        <s v="A00443757" u="1"/>
        <s v="A00401177" u="1"/>
        <s v="A00028209" u="1"/>
        <s v="A01166385" u="1"/>
        <s v="A00462028" u="1"/>
        <s v="A02454492" u="1"/>
        <s v="A00017655" u="1"/>
        <s v="A00015269" u="1"/>
        <s v="A00015272" u="1"/>
        <s v="A00015991" u="1"/>
        <s v="A00016715" u="1"/>
        <s v="A02458209" u="1"/>
        <s v="A02236457" u="1"/>
        <s v="A00315570" u="1"/>
        <s v="A00015347" u="1"/>
        <s v="A00344386" u="1"/>
        <s v="A01312983" u="1"/>
        <s v="A01821811" u="1"/>
        <s v="A00016703" u="1"/>
        <s v="A00289195" u="1"/>
        <s v="A01776194" u="1"/>
        <s v="A01963873" u="1"/>
        <s v="A00510104" u="1"/>
        <s v="A00017108" u="1"/>
        <s v="A00015386" u="1"/>
        <s v="A00345296" u="1"/>
        <s v="A02458847" u="1"/>
        <s v="A00626990" u="1"/>
        <s v="A00016111" u="1"/>
        <s v="A02513954" u="1"/>
        <s v="A00017127" u="1"/>
        <s v="A02456626" u="1"/>
        <s v="A00302633" u="1"/>
        <s v="A00309448" u="1"/>
        <s v="A02437315" u="1"/>
        <s v="A00017616" u="1"/>
        <s v="A00934966" u="1"/>
        <s v="A00294129" u="1"/>
        <s v="A02176384" u="1"/>
        <s v="A01642363" u="1"/>
        <s v="A02330997" u="1"/>
        <s v="A00968948" u="1"/>
        <s v="A02426058" u="1"/>
        <s v="A00508774" u="1"/>
        <s v="A00689654" u="1"/>
        <s v="A02222822" u="1"/>
        <s v="A00319065" u="1"/>
        <s v="A00015316" u="1"/>
        <s v="A00491601" u="1"/>
        <s v="A01952049" u="1"/>
        <s v="A02263136" u="1"/>
        <s v="A00595413" u="1"/>
        <s v="A01771238" u="1"/>
        <s v="A02171779" u="1"/>
        <s v="A01558086" u="1"/>
        <s v="A02429213" u="1"/>
        <s v="A00508181" u="1"/>
        <s v="A02294775" u="1"/>
        <s v="A00016634" u="1"/>
        <s v="A00402330" u="1"/>
        <s v="A00652625" u="1"/>
        <s v="A02381898" u="1"/>
        <s v="A00345542" u="1"/>
        <s v="A00017106" u="1"/>
        <s v="A02421895" u="1"/>
        <s v="A02418710" u="1"/>
        <s v="A00014742" u="1"/>
        <s v="A00017560" u="1"/>
        <s v="A01821868" u="1"/>
        <s v="A00345097" u="1"/>
        <s v="A00491349" u="1"/>
        <s v="A00536758" u="1"/>
        <s v="A01962265" u="1"/>
        <s v="A01097624" u="1"/>
        <s v="A02400938" u="1"/>
        <s v="A02377599" u="1"/>
        <s v="A01822544" u="1"/>
        <s v="A01383323" u="1"/>
        <s v="A02030413" u="1"/>
        <s v="A01952162" u="1"/>
        <s v="A02219086" u="1"/>
        <s v="A00492258" u="1"/>
        <s v="A00307468" u="1"/>
        <s v="A00493666" u="1"/>
        <s v="A00675873" u="1"/>
        <s v="A01499781" u="1"/>
        <s v="A00309762" u="1"/>
        <s v="A02269438" u="1"/>
        <s v="A00016296" u="1"/>
        <s v="A00292906" u="1"/>
        <s v="A01527666" u="1"/>
        <s v="A00314071" u="1"/>
        <s v="A00017627" u="1"/>
        <s v="A02458314" u="1"/>
        <s v="A01384967" u="1"/>
        <s v="A00966349" u="1"/>
        <s v="A02262114" u="1"/>
        <s v="A02423980" u="1"/>
        <s v="A00017105" u="1"/>
        <s v="A00015082" u="1"/>
        <s v="A00344313" u="1"/>
        <s v="A00492795" u="1"/>
        <s v="A00289934" u="1"/>
        <s v="A00947610" u="1"/>
        <s v="A00791894" u="1"/>
        <s v="A00016011" u="1"/>
        <s v="A00286219" u="1"/>
        <s v="A00015789" u="1"/>
        <s v="A00016021" u="1"/>
        <s v="A01483841" u="1"/>
        <s v="A01880881" u="1"/>
        <s v="A02295138" u="1"/>
        <s v="A00678276" u="1"/>
        <s v="A00017304" u="1"/>
        <s v="A01266398" u="1"/>
        <s v="A02325683" u="1"/>
        <s v="A02427450" u="1"/>
        <s v="A00476218" u="1"/>
        <s v="A00018390" u="1"/>
        <s v="A02374274" u="1"/>
        <s v="A00292944" u="1"/>
        <s v="A02234718" u="1"/>
        <s v="A00017155" u="1"/>
        <s v="A00016660" u="1"/>
        <s v="A00283626" u="1"/>
        <s v="A00016683" u="1"/>
        <s v="A00015068" u="1"/>
        <s v="A00015698" u="1"/>
        <s v="A00591905" u="1"/>
        <s v="A00793092" u="1"/>
        <s v="A00818521" u="1"/>
        <s v="A00015250" u="1"/>
        <s v="A01683372" u="1"/>
        <s v="A00297845" u="1"/>
        <s v="A02257185" u="1"/>
        <s v="A00512315" u="1"/>
        <s v="A00505237" u="1"/>
        <s v="A02413876" u="1"/>
        <s v="A00018156" u="1"/>
        <s v="A02488393" u="1"/>
        <s v="A01092420" u="1"/>
        <s v="A00607645" u="1"/>
        <s v="A02488383" u="1"/>
        <s v="A00409132" u="1"/>
        <s v="A01517553" u="1"/>
        <s v="A00614114" u="1"/>
        <s v="A01383442" u="1"/>
        <s v="A00017642" u="1"/>
        <s v="A00016658" u="1"/>
        <s v="A00015071" u="1"/>
        <s v="A00983853" u="1"/>
        <s v="A00015953" u="1"/>
        <s v="A00016744" u="1"/>
        <s v="A02493054" u="1"/>
        <s v="A00016607" u="1"/>
        <s v="A00907388" u="1"/>
        <s v="A02243913" u="1"/>
        <s v="A02226094" u="1"/>
        <s v="A00655767" u="1"/>
        <s v="A00288946" u="1"/>
        <s v="A00518828" u="1"/>
        <s v="A00637708" u="1"/>
        <s v="A00816257" u="1"/>
        <s v="A02292362" u="1"/>
        <s v="A00941113" u="1"/>
        <s v="A01496569" u="1"/>
        <s v="A02428812" u="1"/>
        <s v="A00570971" u="1"/>
        <s v="A00016704" u="1"/>
        <s v="A00659096" u="1"/>
        <s v="A02297404" u="1"/>
        <s v="A00518423" u="1"/>
        <s v="A00378023" u="1"/>
        <s v="A00525898" u="1"/>
        <s v="A02397782" u="1"/>
        <s v="A00704691" u="1"/>
        <s v="A00348766" u="1"/>
        <s v="A01489616" u="1"/>
        <s v="A00015081" u="1"/>
        <s v="A00345969" u="1"/>
        <s v="A00017597" u="1"/>
        <s v="A00584884" u="1"/>
        <s v="A02285155" u="1"/>
        <s v="A02297193" u="1"/>
        <s v="A02249813" u="1"/>
        <s v="A00016636" u="1"/>
        <s v="A00348747" u="1"/>
        <s v="A00702629" u="1"/>
        <s v="A01220452" u="1"/>
        <s v="A00586915" u="1"/>
        <s v="A01615888" u="1"/>
        <s v="A00412657" u="1"/>
        <s v="A00306727" u="1"/>
        <s v="A00392313" u="1"/>
        <s v="A00592590" u="1"/>
        <s v="A00016562" u="1"/>
        <s v="A00016066" u="1"/>
        <s v="A00635559" u="1"/>
        <s v="A00595749" u="1"/>
        <s v="A00015806" u="1"/>
        <s v="A00015321" u="1"/>
        <s v="A00018367" u="1"/>
        <s v="A00016235" u="1"/>
        <s v="A02477983" u="1"/>
        <s v="A00017341" u="1"/>
        <s v="A02297325" u="1"/>
        <s v="A02395315" u="1"/>
        <s v="A00539756" u="1"/>
        <s v="A01987435" u="1"/>
        <s v="A00293234" u="1"/>
        <s v="A00552480" u="1"/>
        <s v="A00879526" u="1"/>
        <s v="A00014924" u="1"/>
        <s v="A00603550" u="1"/>
        <s v="A00935823" u="1"/>
        <s v="A00017698" u="1"/>
        <s v="A02351756" u="1"/>
        <s v="A02398392" u="1"/>
        <s v="A00728025" u="1"/>
        <s v="A00018123" u="1"/>
        <s v="A02426607" u="1"/>
        <s v="A01159247" u="1"/>
        <s v="A00460716" u="1"/>
        <s v="A00017440" u="1"/>
        <s v="A00017060" u="1"/>
        <s v="A00015951" u="1"/>
        <s v="A02242804" u="1"/>
        <s v="A02350872" u="1"/>
        <s v="A02322219" u="1"/>
        <s v="A00016639" u="1"/>
        <s v="A01383704" u="1"/>
        <s v="A00016735" u="1"/>
        <s v="A01210974" u="1"/>
        <s v="A00016645" u="1"/>
        <s v="A00015675" u="1"/>
        <s v="A01965715" u="1"/>
        <s v="A00014932" u="1"/>
        <s v="A02508603" u="1"/>
        <s v="A00313201" u="1"/>
        <s v="A00015151" u="1"/>
        <s v="A00017182" u="1"/>
        <s v="A00016293" u="1"/>
        <s v="A02229680" u="1"/>
        <s v="A00017362" u="1"/>
        <s v="A00509414" u="1"/>
        <s v="A00653479" u="1"/>
        <s v="A00531838" u="1"/>
        <s v="A00015087" u="1"/>
        <s v="A00564956" u="1"/>
        <s v="A02436668" u="1"/>
        <s v="A00318864" u="1"/>
        <s v="A00015325" u="1"/>
        <s v="A00510484" u="1"/>
        <s v="A00014898" u="1"/>
        <s v="A00558055" u="1"/>
        <s v="A00657422" u="1"/>
        <s v="A00455584" u="1"/>
        <s v="A00646541" u="1"/>
        <s v="A00294246" u="1"/>
        <s v="A00361963" u="1"/>
        <s v="A00016665" u="1"/>
        <s v="A02215034" u="1"/>
        <s v="A01670282" u="1"/>
        <s v="A02397136" u="1"/>
        <s v="A01106211" u="1"/>
        <s v="A02346383" u="1"/>
        <s v="A02227109" u="1"/>
        <s v="A00016957" u="1"/>
        <s v="A00809217" u="1"/>
        <s v="A00016751" u="1"/>
        <s v="A00319089" u="1"/>
        <s v="A00014794" u="1"/>
        <s v="A00016860" u="1"/>
        <s v="A00017115" u="1"/>
        <s v="A00593572" u="1"/>
        <s v="A00453369" u="1"/>
        <s v="A02041560" u="1"/>
        <s v="A00344887" u="1"/>
        <s v="A00018401" u="1"/>
        <s v="A01396679" u="1"/>
        <s v="A00018234" u="1"/>
        <s v="A02034222" u="1"/>
        <s v="A02312927" u="1"/>
        <s v="A01760216" u="1"/>
        <s v="A00295679" u="1"/>
        <s v="A00322606" u="1"/>
        <s v="A00591768" u="1"/>
        <s v="A00016007" u="1"/>
        <s v="A00517852" u="1"/>
        <s v="A00016922" u="1"/>
        <s v="A00016433" u="1"/>
        <s v="A00484902" u="1"/>
        <s v="A00015112" u="1"/>
        <s v="A00014899" u="1"/>
        <s v="A00469015" u="1"/>
        <s v="A02179364" u="1"/>
        <s v="A02489387" u="1"/>
        <s v="A00791603" u="1"/>
        <s v="A01893888" u="1"/>
        <s v="A00014902" u="1"/>
        <s v="A00016728" u="1"/>
        <s v="A02424582" u="1"/>
        <s v="A00486536" u="1"/>
        <s v="A00966397" u="1"/>
        <s v="A00793156" u="1"/>
        <s v="A00346112" u="1"/>
        <s v="A02482369" u="1"/>
        <s v="A02227427" u="1"/>
        <s v="A02410485" u="1"/>
        <s v="A00017467" u="1"/>
        <s v="A00651679" u="1"/>
        <s v="A02296452" u="1"/>
        <s v="A00513061" u="1"/>
        <s v="A00791978" u="1"/>
        <s v="A02318102" u="1"/>
        <s v="A00791969" u="1"/>
        <s v="A00017575" u="1"/>
        <s v="A00016747" u="1"/>
        <s v="A02325472" u="1"/>
        <s v="A00017445" u="1"/>
        <s v="A01112719" u="1"/>
        <s v="A00537146" u="1"/>
        <s v="A02347398" u="1"/>
        <s v="A00017131" u="1"/>
        <s v="A02470860" u="1"/>
        <s v="A00018316" u="1"/>
        <s v="A00345706" u="1"/>
        <s v="A00946571" u="1"/>
        <s v="A01797852" u="1"/>
        <s v="A02375483" u="1"/>
        <s v="A00658068" u="1"/>
        <s v="A02350931" u="1"/>
        <s v="A00016816" u="1"/>
        <s v="A00015940" u="1"/>
        <s v="A00015777" u="1"/>
        <s v="A00015065" u="1"/>
        <s v="A02436885" u="1"/>
        <s v="A00700123" u="1"/>
        <s v="A01350049" u="1"/>
        <s v="A00519036" u="1"/>
        <s v="A00697078" u="1"/>
        <s v="A00619107" u="1"/>
        <s v="A02198543" u="1"/>
        <s v="A00612957" u="1"/>
        <s v="A00520174" u="1"/>
        <s v="A02296298" u="1"/>
        <s v="A00493616" u="1"/>
        <s v="A00017000" u="1"/>
        <s v="A00432873" u="1"/>
        <s v="A00015949" u="1"/>
        <s v="A00014925" u="1"/>
        <s v="A02393469" u="1"/>
        <s v="A00348746" u="1"/>
        <s v="A00728851" u="1"/>
        <s v="A00016294" u="1"/>
        <s v="A02305240" u="1"/>
        <s v="A02218401" u="1"/>
        <s v="A00016702" u="1"/>
        <s v="A00344182" u="1"/>
        <s v="A02037459" u="1"/>
        <s v="A00015244" u="1"/>
        <s v="A00666969" u="1"/>
        <s v="A00523751" u="1"/>
        <s v="A00675923" u="1"/>
        <s v="A00531591" u="1"/>
        <s v="A00017269" u="1"/>
        <s v="A00791824" u="1"/>
        <s v="A00348706" u="1"/>
        <s v="A01767517" u="1"/>
        <s v="A00015965" u="1"/>
        <s v="A00017158" u="1"/>
        <s v="A00015322" u="1"/>
        <s v="A02260023" u="1"/>
        <s v="A02449290" u="1"/>
        <s v="A00015863" u="1"/>
        <s v="A00017044" u="1"/>
        <s v="A00018372" u="1"/>
        <s v="A01863841" u="1"/>
        <s v="A02321148" u="1"/>
        <s v="A00014940" u="1"/>
        <s v="A00310257" u="1"/>
        <s v="A00420693" u="1"/>
        <s v="A00015979" u="1"/>
        <s v="A00812665" u="1"/>
        <s v="A00344606" u="1"/>
        <s v="A00981490" u="1"/>
        <s v="A00641185" u="1"/>
        <s v="A00345620" u="1"/>
        <s v="A00949411" u="1"/>
        <s v="A02457537" u="1"/>
        <s v="A02231935" u="1"/>
        <s v="A01638158" u="1"/>
        <s v="A02375073" u="1"/>
        <s v="A02172867" u="1"/>
        <s v="A02436276" u="1"/>
        <s v="A00015539" u="1"/>
        <s v="A00015558" u="1"/>
        <s v="A00300626" u="1"/>
        <s v="A01822175" u="1"/>
        <s v="A00017543" u="1"/>
        <s v="A00345541" u="1"/>
        <s v="A00533131" u="1"/>
        <s v="A00016775" u="1"/>
        <s v="A00345607" u="1"/>
        <s v="A00017048" u="1"/>
        <s v="A00015708" u="1"/>
        <s v="A00601059" u="1"/>
        <s v="A01650448" u="1"/>
        <s v="A00016046" u="1"/>
        <s v="A00310017" u="1"/>
        <s v="A00322795" u="1"/>
        <s v="A00028225" u="1"/>
        <s v="A02331910" u="1"/>
        <s v="A00574177" u="1"/>
        <s v="A00652802" u="1"/>
        <s v="A01538030" u="1"/>
        <s v="A00297459" u="1"/>
        <s v="A00309918" u="1"/>
        <s v="A01664334" u="1"/>
        <s v="A00016318" u="1"/>
        <s v="A00669594" u="1"/>
        <s v="A00309540" u="1"/>
        <s v="A02356935" u="1"/>
        <s v="A00926626" u="1"/>
        <s v="A00578619" u="1"/>
        <s v="A00016020" u="1"/>
        <s v="A01988624" u="1"/>
        <s v="A00348802" u="1"/>
        <s v="A00510519" u="1"/>
        <s v="A00587922" u="1"/>
        <s v="A00015072" u="1"/>
        <s v="A00017458" u="1"/>
        <s v="A00344382" u="1"/>
        <s v="A02172403" u="1"/>
        <s v="A00016737" u="1"/>
        <s v="A02232237" u="1"/>
        <s v="A00294345" u="1"/>
        <s v="A00488043" u="1"/>
        <s v="A00015955" u="1"/>
        <s v="A00410297" u="1"/>
        <s v="A00017117" u="1"/>
        <s v="A02373729" u="1"/>
        <s v="A00015587" u="1"/>
        <s v="A02187752" u="1"/>
        <s v="A01963787" u="1"/>
        <s v="A01963720" u="1"/>
        <s v="A00547715" u="1"/>
        <s v="A00519201" u="1"/>
        <s v="A00484872" u="1"/>
        <s v="A01963871" u="1"/>
        <s v="A00818311" u="1"/>
        <s v="A00608747" u="1"/>
        <s v="A00935785" u="1"/>
        <s v="A00609344" u="1"/>
        <s v="A01203796" u="1"/>
        <s v="A00346014" u="1"/>
        <s v="A00014965" u="1"/>
        <s v="A00295228" u="1"/>
        <s v="A00453231" u="1"/>
        <s v="A00353991" u="1"/>
        <s v="A02195318" u="1"/>
        <s v="A00016104" u="1"/>
        <s v="A02236519" u="1"/>
        <s v="A00017487" u="1"/>
        <s v="A02401843" u="1"/>
        <s v="A00507800" u="1"/>
        <s v="A02402788" u="1"/>
        <s v="A01516127" u="1"/>
        <s v="A00973238" u="1"/>
        <s v="A00015670" u="1"/>
        <s v="A01257398" u="1"/>
        <s v="A00606603" u="1"/>
        <s v="A00015826" u="1"/>
        <s v="A00582811" u="1"/>
        <s v="A00014697" u="1"/>
        <s v="A00612642" u="1"/>
        <s v="A00519426" u="1"/>
        <s v="A00684140" u="1"/>
        <s v="A00016608" u="1"/>
        <s v="A00496862" u="1"/>
        <s v="A00504961" u="1"/>
        <s v="A00292912" u="1"/>
        <s v="A00792719" u="1"/>
        <s v="A00014889" u="1"/>
        <s v="A00344630" u="1"/>
        <s v="A01509492" u="1"/>
        <s v="A00015317" u="1"/>
        <s v="A01109698" u="1"/>
        <s v="A00300413" u="1"/>
        <s v="A00016884" u="1"/>
        <s v="A00015530" u="1"/>
        <s v="A02291805" u="1"/>
        <s v="A00015333" u="1"/>
        <s v="A00014873" u="1"/>
        <s v="A00345714" u="1"/>
        <s v="A02191099" u="1"/>
        <s v="A00017111" u="1"/>
        <s v="A00344497" u="1"/>
        <s v="A02258583" u="1"/>
        <s v="A00492863" u="1"/>
        <s v="A00015422" u="1"/>
        <s v="A01112421" u="1"/>
        <s v="A00345637" u="1"/>
        <s v="A01185375" u="1"/>
        <s v="A00015294" u="1"/>
        <s v="A00014698" u="1"/>
        <s v="A00361240" u="1"/>
        <s v="A02232173" u="1"/>
        <s v="A02266907" u="1"/>
        <s v="A00016254" u="1"/>
        <s v="A00953289" u="1"/>
        <s v="A00789549" u="1"/>
        <s v="A00536615" u="1"/>
        <s v="A00524996" u="1"/>
        <s v="A02491011" u="1"/>
        <s v="A00704994" u="1"/>
        <s v="A00016098" u="1"/>
        <s v="A02091574" u="1"/>
        <s v="A00648042" u="1"/>
        <s v="A01804645" u="1"/>
        <s v="A00345580" u="1"/>
        <s v="A00017354" u="1"/>
        <s v="A00016722" u="1"/>
        <s v="A00597962" u="1"/>
        <s v="A02396728" u="1"/>
        <s v="A00017065" u="1"/>
        <s v="A00812535" u="1"/>
        <s v="A00017320" u="1"/>
        <s v="A00427959" u="1"/>
        <s v="A00941376" u="1"/>
        <s v="A02387015" u="1"/>
        <s v="A00551140" u="1"/>
        <s v="A00344916" u="1"/>
        <s v="A01109702" u="1"/>
        <s v="A00962204" u="1"/>
        <s v="A00015938" u="1"/>
        <s v="A00468584" u="1"/>
        <s v="A01958884" u="1"/>
        <s v="A00307451" u="1"/>
        <s v="A01630121" u="1"/>
        <s v="A02304806" u="1"/>
        <s v="A00624020" u="1"/>
        <s v="A01633638" u="1"/>
        <s v="A02398620" u="1"/>
        <s v="A00014775" u="1"/>
        <s v="A00793798" u="1"/>
        <s v="A01209770" u="1"/>
        <s v="A00017654" u="1"/>
        <s v="A00516295" u="1"/>
        <s v="A00300199" u="1"/>
        <s v="A00500813" u="1"/>
        <s v="A02431724" u="1"/>
        <s v="A00017282" u="1"/>
        <s v="A02233828" u="1"/>
        <s v="A00014773" u="1"/>
        <s v="A00015817" u="1"/>
        <s v="A02061997" u="1"/>
        <s v="A00015781" u="1"/>
        <s v="A00601399" u="1"/>
        <s v="A00300480" u="1"/>
        <s v="A00113418" u="1"/>
        <s v="A02433785" u="1"/>
        <s v="A01506375" u="1"/>
        <s v="A00289224" u="1"/>
        <s v="A01105903" u="1"/>
        <s v="A02267418" u="1"/>
        <s v="A02255316" u="1"/>
        <s v="A00346039" u="1"/>
        <s v="A01184863" u="1"/>
        <s v="A00414158" u="1"/>
        <s v="A02235670" u="1"/>
        <s v="A00016716" u="1"/>
        <s v="A00015233" u="1"/>
        <s v="A00790265" u="1"/>
        <s v="A02226055" u="1"/>
        <s v="A00293389" u="1"/>
        <s v="A00314984" u="1"/>
        <s v="A00015706" u="1"/>
        <s v="A00016730" u="1"/>
        <s v="A00017521" u="1"/>
        <s v="A00017109" u="1"/>
        <s v="A00509376" u="1"/>
        <s v="A00344969" u="1"/>
        <s v="A02264860" u="1"/>
        <s v="A00571892" u="1"/>
        <s v="A02074274" u="1"/>
        <s v="A01639768" u="1"/>
        <s v="A00698902" u="1"/>
        <s v="A00294481" u="1"/>
        <s v="A00793037" u="1"/>
        <s v="A00516784" u="1"/>
        <s v="A00732186" u="1"/>
        <s v="A01527686" u="1"/>
        <s v="A02278128" u="1"/>
        <s v="A00919991" u="1"/>
        <s v="A00016544" u="1"/>
        <s v="A00018351" u="1"/>
        <s v="A00722887" u="1"/>
        <s v="A00493347" u="1"/>
        <s v="A00974694" u="1"/>
        <s v="A00016684" u="1"/>
        <s v="A02498670" u="1"/>
        <s v="A00294098" u="1"/>
        <s v="A00015139" u="1"/>
        <s v="A02240592" u="1"/>
        <s v="A00792549" u="1"/>
        <s v="A00015237" u="1"/>
        <s v="A00017397" u="1"/>
        <s v="A00015532" u="1"/>
        <s v="A01777594" u="1"/>
        <s v="A00909243" u="1"/>
        <s v="A02272599" u="1"/>
        <s v="A00406077" u="1"/>
        <s v="A00016677" u="1"/>
        <s v="A02276375" u="1"/>
        <s v="A01514945" u="1"/>
        <s v="A00428237" u="1"/>
        <s v="A00515167" u="1"/>
        <s v="A00016106" u="1"/>
        <s v="A00017652" u="1"/>
        <s v="A00345666" u="1"/>
        <s v="A02215269" u="1"/>
        <s v="A00017280" u="1"/>
        <s v="A02295922" u="1"/>
        <s v="A01096163" u="1"/>
        <s v="A00017351" u="1"/>
        <s v="A01690083" u="1"/>
        <s v="A00016219" u="1"/>
        <s v="A00016379" u="1"/>
        <s v="A00717533" u="1"/>
        <s v="A00940590" u="1"/>
        <s v="A00985449" u="1"/>
        <s v="A02490541" u="1"/>
        <s v="A02505290" u="1"/>
        <s v="A00017185" u="1"/>
        <s v="A00015555" u="1"/>
        <s v="A00015290" u="1"/>
        <s v="A00015116" u="1"/>
        <s v="A00017649" u="1"/>
        <s v="A00017194" u="1"/>
        <s v="A00316242" u="1"/>
        <s v="A00293043" u="1"/>
        <s v="A02390149" u="1"/>
        <s v="A00289337" u="1"/>
        <s v="A02231729" u="1"/>
        <s v="A00015062" u="1"/>
        <s v="A01316862" u="1"/>
        <s v="A02380673" u="1"/>
        <s v="A00518512" u="1"/>
        <s v="A00015657" u="1"/>
        <s v="A00345644" u="1"/>
        <s v="A00958913" u="1"/>
        <s v="A00304292" u="1"/>
        <s v="A00015111" u="1"/>
        <s v="A02320349" u="1"/>
        <s v="A00344805" u="1"/>
        <s v="A00015703" u="1"/>
        <s v="A00015692" u="1"/>
        <s v="A02239969" u="1"/>
        <s v="A00528229" u="1"/>
        <s v="A00346054" u="1"/>
        <s v="A00015054" u="1"/>
        <s v="A00016609" u="1"/>
        <s v="A00637086" u="1"/>
        <s v="A00309676" u="1"/>
        <s v="A00465532" u="1"/>
        <s v="A00485197" u="1"/>
        <s v="A00014693" u="1"/>
        <s v="A02330982" u="1"/>
        <s v="A00016712" u="1"/>
        <s v="A01871973" u="1"/>
        <s v="A02237035" u="1"/>
        <s v="A00015283" u="1"/>
        <s v="A01961738" u="1"/>
        <s v="A00015278" u="1"/>
        <s v="A02450828" u="1"/>
        <s v="A01759825" u="1"/>
        <s v="A02490234" u="1"/>
        <s v="A02366409" u="1"/>
        <s v="A00016757" u="1"/>
        <s v="A00016185" u="1"/>
        <s v="A01791807" u="1"/>
        <s v="A02502405" u="1"/>
        <s v="A00014935" u="1"/>
        <s v="A00016096" u="1"/>
        <s v="A00017175" u="1"/>
        <s v="A00018140" u="1"/>
        <s v="A02239262" u="1"/>
        <s v="A00014777" u="1"/>
        <s v="A00520957" u="1"/>
        <s v="A02498517" u="1"/>
        <s v="A01679243" u="1"/>
        <s v="A00666221" u="1"/>
        <s v="A00018249" u="1"/>
        <s v="A00792207" u="1"/>
        <s v="A00016710" u="1"/>
        <s v="A00390722" u="1"/>
        <s v="A00015263" u="1"/>
        <s v="A00292941" u="1"/>
        <s v="A01953754" u="1"/>
        <s v="A00017683" u="1"/>
        <s v="A00306054" u="1"/>
        <s v="A00015308" u="1"/>
        <s v="A02395326" u="1"/>
        <s v="A02400768" u="1"/>
        <s v="A02296072" u="1"/>
        <s v="A00014937" u="1"/>
        <s v="A01612419" u="1"/>
        <s v="A00015303" u="1"/>
        <s v="A00015196" u="1"/>
        <s v="A00471170" u="1"/>
        <s v="A02273596" u="1"/>
        <s v="A01621132" u="1"/>
        <s v="A00017523" u="1"/>
        <s v="A01963030" u="1"/>
        <s v="A02300556" u="1"/>
        <s v="A02297400" u="1"/>
        <s v="A00345066" u="1"/>
        <s v="A00016484" u="1"/>
        <s v="A00017520" u="1"/>
        <s v="A00344742" u="1"/>
        <s v="A02243293" u="1"/>
        <s v="A00696445" u="1"/>
        <s v="A01987991" u="1"/>
        <s v="A02260243" u="1"/>
        <s v="A00983929" u="1"/>
        <s v="A02490280" u="1"/>
        <s v="A00667536" u="1"/>
        <s v="A02272563" u="1"/>
        <s v="A00313200" u="1"/>
        <s v="A02340439" u="1"/>
        <s v="A01773119" u="1"/>
        <s v="A02333255" u="1"/>
        <s v="A00629175" u="1"/>
        <s v="A01218203" u="1"/>
        <s v="A00704326" u="1"/>
        <s v="A00599642" u="1"/>
        <s v="A00344860" u="1"/>
        <s v="A00014897" u="1"/>
        <s v="A02460454" u="1"/>
        <s v="A01212387" u="1"/>
        <s v="A00016582" u="1"/>
        <s v="A00017680" u="1"/>
        <s v="A02273449" u="1"/>
        <s v="A00316373" u="1"/>
        <s v="A00316790" u="1"/>
        <s v="A01975159" u="1"/>
        <s v="A01211710" u="1"/>
        <s v="A00016659" u="1"/>
        <s v="A02053041" u="1"/>
        <s v="A00600365" u="1"/>
        <s v="A01211528" u="1"/>
        <s v="A00351854" u="1"/>
        <s v="A00017159" u="1"/>
        <s v="A02223084" u="1"/>
        <s v="A00949172" u="1"/>
        <s v="A00017003" u="1"/>
        <s v="A00586246" u="1"/>
        <s v="A00576132" u="1"/>
        <s v="A00446223" u="1"/>
        <s v="A00017400" u="1"/>
        <s v="A00015537" u="1"/>
        <s v="A00014756" u="1"/>
        <s v="A00015508" u="1"/>
        <s v="A00017089" u="1"/>
        <s v="A02500544" u="1"/>
        <s v="A01218434" u="1"/>
        <s v="A02301850" u="1"/>
        <s v="A01841079" u="1"/>
        <s v="A01952987" u="1"/>
        <s v="A00596398" u="1"/>
        <s v="A00016585" u="1"/>
        <s v="A00694108" u="1"/>
        <s v="A00675904" u="1"/>
        <s v="A01781798" u="1"/>
        <s v="A01954824" u="1"/>
        <s v="A00016595" u="1"/>
        <s v="A00015899" u="1"/>
        <s v="A00309037" u="1"/>
        <s v="A00017062" u="1"/>
        <s v="A01108890" u="1"/>
        <s v="A00320244" u="1"/>
        <s v="A00015966" u="1"/>
        <s v="A01313736" u="1"/>
        <s v="A00583083" u="1"/>
        <s v="A00017103" u="1"/>
        <s v="A00016594" u="1"/>
        <s v="A02177082" u="1"/>
        <s v="A02481744" u="1"/>
        <s v="A00016882" u="1"/>
        <s v="A00672441" u="1"/>
        <s v="A00015716" u="1"/>
        <s v="A00514106" u="1"/>
        <s v="A00547118" u="1"/>
        <s v="A00017550" u="1"/>
        <s v="A00444683" u="1"/>
        <s v="A02346662" u="1"/>
        <s v="A00015927" u="1"/>
        <s v="A00016817" u="1"/>
        <s v="A00015313" u="1"/>
        <s v="A02243541" u="1"/>
        <s v="A00297405" u="1"/>
        <s v="A00512318" u="1"/>
        <s v="A00015870" u="1"/>
        <s v="A00918021" u="1"/>
        <s v="A02178930" u="1"/>
        <s v="A00017568" u="1"/>
        <s v="A00291670" u="1"/>
        <s v="A00017699" u="1"/>
        <s v="A00015280" u="1"/>
        <s v="A02291717" u="1"/>
        <s v="A00016619" u="1"/>
        <s v="A00015039" u="1"/>
        <s v="A01108166" u="1"/>
        <s v="A02220131" u="1"/>
        <s v="A02051702" u="1"/>
        <s v="A00016174" u="1"/>
        <s v="A00351886" u="1"/>
        <s v="A01951835" u="1"/>
        <s v="A00361075" u="1"/>
        <s v="A00301310" u="1"/>
        <s v="A02262869" u="1"/>
        <s v="A01978414" u="1"/>
        <s v="A00017072" u="1"/>
        <s v="A00015796" u="1"/>
        <s v="A00015314" u="1"/>
        <s v="A00666765" u="1"/>
        <s v="A02380534" u="1"/>
        <s v="A00512182" u="1"/>
        <s v="A01975257" u="1"/>
        <s v="A00014785" u="1"/>
        <s v="A00402574" u="1"/>
        <s v="A02391140" u="1"/>
        <s v="A01614206" u="1"/>
        <s v="A01491006" u="1"/>
        <s v="A00017373" u="1"/>
        <s v="A01778580" u="1"/>
        <s v="A00518101" u="1"/>
        <s v="A00016633" u="1"/>
        <s v="A00015075" u="1"/>
        <s v="A00956197" u="1"/>
        <s v="A01426153" u="1"/>
        <s v="A00344643" u="1"/>
        <s v="A00470241" u="1"/>
        <s v="A00672188" u="1"/>
        <s v="A00017034" u="1"/>
        <s v="A02303442" u="1"/>
        <s v="A02398631" u="1"/>
        <s v="A01536926" u="1"/>
        <s v="A00597794" u="1"/>
        <s v="A00581714" u="1"/>
        <s v="A02373110" u="1"/>
        <s v="A00015665" u="1"/>
        <s v="A02286348" u="1"/>
        <s v="A00015011" u="1"/>
        <s v="A02514051" u="1"/>
        <s v="A00017612" u="1"/>
        <s v="A00701471" u="1"/>
        <s v="A00446096" u="1"/>
        <s v="A00017461" u="1"/>
        <s v="A00016985" u="1"/>
        <s v="A00516800" u="1"/>
        <s v="A02228305" u="1"/>
        <s v="A00015503" u="1"/>
        <s v="A02194199" u="1"/>
        <s v="A02510011" u="1"/>
        <s v="A01772289" u="1"/>
        <s v="A02400660" u="1"/>
        <s v="A02322312" u="1"/>
        <s v="A00589924" u="1"/>
        <s v="A00017093" u="1"/>
        <s v="A00015909" u="1"/>
        <s v="A00015275" u="1"/>
        <s v="A00570267" u="1"/>
        <s v="A00017171" u="1"/>
        <s v="A00827895" u="1"/>
        <s v="A01767677" u="1"/>
        <s v="A00015804" u="1"/>
        <s v="A02309345" u="1"/>
        <s v="A02426362" u="1"/>
        <s v="A00015235" u="1"/>
        <s v="A02041378" u="1"/>
        <s v="A00942432" u="1"/>
        <s v="A00016982" u="1"/>
        <s v="A01496391" u="1"/>
        <s v="A00016746" u="1"/>
        <s v="A02356528" u="1"/>
        <s v="A01769769" u="1"/>
        <s v="A00308822" u="1"/>
        <s v="A02295353" u="1"/>
        <s v="A02219126" u="1"/>
        <s v="A00016122" u="1"/>
        <s v="A00014971" u="1"/>
        <s v="A02182998" u="1"/>
        <s v="A00313203" u="1"/>
        <s v="A00469447" u="1"/>
        <s v="A00015700" u="1"/>
        <s v="A00567878" u="1"/>
        <s v="A00459550" u="1"/>
        <s v="A00016821" u="1"/>
        <s v="A00638709" u="1"/>
        <s v="A00015388" u="1"/>
        <s v="A00473589" u="1"/>
        <s v="A00016270" u="1"/>
        <s v="A00344964" u="1"/>
        <s v="A02327057" u="1"/>
        <s v="A00525986" u="1"/>
        <s v="A01760171" u="1"/>
        <s v="A00732740" u="1"/>
        <s v="A00016695" u="1"/>
        <s v="A02086089" u="1"/>
        <s v="A00514270" u="1"/>
        <s v="A00964296" u="1"/>
        <s v="A00017644" u="1"/>
        <s v="A00015588" u="1"/>
        <s v="A00015880" u="1"/>
        <s v="A01629092" u="1"/>
        <s v="A02331147" u="1"/>
        <s v="A00521082" u="1"/>
        <s v="A00015757" u="1"/>
        <s v="A00423606" u="1"/>
        <s v="A00015486" u="1"/>
        <s v="A02268924" u="1"/>
        <s v="A00017380" u="1"/>
        <s v="A01968945" u="1"/>
        <s v="A02346622" u="1"/>
        <s v="A00015696" u="1"/>
        <s v="A00792365" u="1"/>
        <s v="A00316381" u="1"/>
        <s v="A01758788" u="1"/>
        <s v="A00017368" u="1"/>
        <s v="A00793082" u="1"/>
        <s v="A01215128" u="1"/>
        <s v="A02256862" u="1"/>
        <s v="A00015427" u="1"/>
        <s v="A00309608" u="1"/>
        <s v="A00287934" u="1"/>
        <s v="A00390721" u="1"/>
        <s v="A00453008" u="1"/>
        <s v="A00554966" u="1"/>
        <s v="A00014705" u="1"/>
        <s v="A01513705" u="1"/>
        <s v="A00388901" u="1"/>
        <s v="A00570132" u="1"/>
        <s v="A00014713" u="1"/>
        <s v="A00610473" u="1"/>
        <s v="A02227442" u="1"/>
        <s v="A00014684" u="1"/>
        <s v="A00512064" u="1"/>
        <s v="A00791878" u="1"/>
        <s v="A00570330" u="1"/>
        <s v="A02469929" u="1"/>
        <s v="A00556273" u="1"/>
        <s v="A00015267" u="1"/>
        <s v="A00016363" u="1"/>
        <s v="A00017682" u="1"/>
        <s v="A00601962" u="1"/>
        <s v="A01310638" u="1"/>
        <s v="A00488111" u="1"/>
        <s v="A02193709" u="1"/>
        <s v="A00572360" u="1"/>
        <s v="A00014929" u="1"/>
        <s v="A01105373" u="1"/>
        <s v="A00286684" u="1"/>
        <s v="A00602238" u="1"/>
        <s v="A00015598" u="1"/>
        <s v="A02240769" u="1"/>
        <s v="A00344424" u="1"/>
        <s v="A02273852" u="1"/>
        <s v="A02383778" u="1"/>
        <s v="A00512100" u="1"/>
        <s v="A00015686" u="1"/>
        <s v="A00962165" u="1"/>
        <s v="A00017396" u="1"/>
        <s v="A02190079" u="1"/>
        <s v="A00315861" u="1"/>
        <s v="A01661369" u="1"/>
        <s v="A00017302" u="1"/>
        <s v="A00618575" u="1"/>
        <s v="A00366409" u="1"/>
        <s v="A02503918" u="1"/>
        <s v="A00320600" u="1"/>
        <s v="A01105737" u="1"/>
        <s v="A00016767" u="1"/>
        <s v="A02454584" u="1"/>
        <s v="A00017012" u="1"/>
        <s v="A00595355" u="1"/>
        <s v="A00016063" u="1"/>
        <s v="A00644318" u="1"/>
        <s v="A00015344" u="1"/>
        <s v="A00486101" u="1"/>
        <s v="A00014876" u="1"/>
        <s v="A01542733" u="1"/>
        <s v="A00016934" u="1"/>
        <s v="A00015337" u="1"/>
        <s v="A00531507" u="1"/>
        <s v="A00345592" u="1"/>
        <s v="A01102822" u="1"/>
        <s v="A00016095" u="1"/>
        <s v="A00016101" u="1"/>
        <s v="A02359012" u="1"/>
        <s v="A00016654" u="1"/>
        <s v="A00612549" u="1"/>
        <s v="A02368132" u="1"/>
        <s v="A00612375" u="1"/>
        <s v="A01974473" u="1"/>
        <s v="A00586802" u="1"/>
        <s v="A00292817" u="1"/>
        <s v="A02394831" u="1"/>
        <s v="A01281073" u="1"/>
        <s v="A00441132" u="1"/>
        <s v="A02297453" u="1"/>
        <s v="A01167852" u="1"/>
        <s v="A02240014" u="1"/>
        <s v="A00531197" u="1"/>
        <s v="A00018184" u="1"/>
        <s v="A02191676" u="1"/>
        <s v="A00015679" u="1"/>
        <s v="A00015624" u="1"/>
        <s v="A00513788" u="1"/>
        <s v="A00017611" u="1"/>
        <s v="A01759189" u="1"/>
        <s v="A01530976" u="1"/>
        <s v="A02378232" u="1"/>
        <s v="A00671966" u="1"/>
        <s v="A00504788" u="1"/>
        <s v="A00017404" u="1"/>
        <s v="A00015705" u="1"/>
        <s v="A00015523" u="1"/>
        <s v="A00614500" u="1"/>
        <s v="A00016179" u="1"/>
        <s v="A00015115" u="1"/>
        <s v="A02301073" u="1"/>
        <s v="A00014927" u="1"/>
        <s v="A00612602" u="1"/>
        <s v="A00014699" u="1"/>
        <s v="A00625455" u="1"/>
        <s v="A02394227" u="1"/>
        <s v="A01962746" u="1"/>
        <s v="A00388896" u="1"/>
        <s v="A02485570" u="1"/>
        <s v="A02361430" u="1"/>
        <s v="A01484770" u="1"/>
        <s v="A00017643" u="1"/>
        <s v="A00017118" u="1"/>
        <s v="A02436947" u="1"/>
        <s v="A02320360" u="1"/>
        <s v="A00388607" u="1"/>
        <s v="A00439889" u="1"/>
        <s v="A00015507" u="1"/>
        <s v="A00015343" u="1"/>
        <s v="A01223451" u="1"/>
        <s v="A02272086" u="1"/>
        <s v="A00732173" u="1"/>
        <s v="A00515574" u="1"/>
        <s v="A00016590" u="1"/>
        <s v="A01985707" u="1"/>
        <s v="A00792681" u="1"/>
        <s v="A02238324" u="1"/>
        <s v="A00319074" u="1"/>
        <s v="A00015368" u="1"/>
        <s v="A02235851" u="1"/>
        <s v="A00017678" u="1"/>
        <s v="A00617132" u="1"/>
        <s v="A02477841" u="1"/>
        <s v="A00351857" u="1"/>
        <s v="A00017410" u="1"/>
        <s v="A00015288" u="1"/>
        <s v="A00345836" u="1"/>
        <s v="A00016182" u="1"/>
        <s v="A02018253" u="1"/>
        <s v="A00017235" u="1"/>
        <s v="A00016402" u="1"/>
        <s v="A00015277" u="1"/>
        <s v="A00015852" u="1"/>
        <s v="A00017206" u="1"/>
        <s v="A01963958" u="1"/>
        <s v="A00016691" u="1"/>
        <s v="A00016103" u="1"/>
        <s v="A00345625" u="1"/>
        <s v="A02236388" u="1"/>
        <s v="A01759845" u="1"/>
        <s v="A00543114" u="1"/>
        <s v="A00286934" u="1"/>
        <s v="A01675240" u="1"/>
        <s v="A00017146" u="1"/>
        <s v="A00521393" u="1"/>
        <s v="A00316214" u="1"/>
        <s v="A00016770" u="1"/>
        <s v="A01790761" u="1"/>
        <s v="A02429451" u="1"/>
        <s v="A00016610" u="1"/>
        <s v="A00015266" u="1"/>
        <s v="A02485087" u="1"/>
        <s v="A00015338" u="1"/>
        <s v="A00016734" u="1"/>
        <s v="A00655366" u="1"/>
        <s v="A00656766" u="1"/>
        <s v="A00612863" u="1"/>
        <s v="A00695090" u="1"/>
        <s v="A00378022" u="1"/>
        <s v="A00606310" u="1"/>
        <s v="A00561105" u="1"/>
        <s v="A00016916" u="1"/>
        <s v="A00539363" u="1"/>
        <s v="A02347295" u="1"/>
        <s v="A00470219" u="1"/>
        <s v="A00606295" u="1"/>
        <s v="A00299978" u="1"/>
        <s v="A02254857" u="1"/>
        <s v="A00014738" u="1"/>
        <s v="A00351874" u="1"/>
        <s v="A00016739" u="1"/>
        <s v="A00028207" u="1"/>
        <s v="A02462123" u="1"/>
        <s v="A00015205" u="1"/>
        <s v="A00017125" u="1"/>
        <s v="A00014919" u="1"/>
        <s v="A01538890" u="1"/>
        <s v="A00647078" u="1"/>
        <s v="A00016657" u="1"/>
        <s v="A00512730" u="1"/>
        <s v="A02297551" u="1"/>
        <s v="A00015498" u="1"/>
        <s v="A00299331" u="1"/>
        <s v="A01766371" u="1"/>
        <s v="A00848629" u="1"/>
        <s v="A00290275" u="1"/>
        <s v="A00015937" u="1"/>
        <s v="A00016444" u="1"/>
        <s v="A00344566" u="1"/>
        <s v="A02354480" u="1"/>
        <s v="A00017600" u="1"/>
        <s v="A00017401" u="1"/>
        <s v="A01675088" u="1"/>
        <s v="A00310050" u="1"/>
        <s v="A00544704" u="1"/>
        <s v="A01862365" u="1"/>
        <s v="A00292501" u="1"/>
        <s v="A00469053" u="1"/>
        <s v="A00365073" u="1"/>
        <s v="A00290846" u="1"/>
        <s v="A01771914" u="1"/>
        <s v="A00014711" u="1"/>
        <s v="A00014692" u="1"/>
        <s v="A00913186" u="1"/>
        <s v="A00018342" u="1"/>
        <s v="A02294464" u="1"/>
        <s v="A02219981" u="1"/>
        <s v="A00697297" u="1"/>
        <s v="A00946775" u="1"/>
        <s v="A00637024" u="1"/>
        <s v="A02299817" u="1"/>
        <s v="A01534570" u="1"/>
        <s v="A02268497" u="1"/>
        <s v="A00017424" u="1"/>
        <s v="A01514928" u="1"/>
        <s v="A02467209" u="1"/>
        <s v="A02455313" u="1"/>
        <s v="A00283983" u="1"/>
        <s v="A02254728" u="1"/>
        <s v="A00017544" u="1"/>
        <s v="A00014724" u="1"/>
        <s v="A01579457" u="1"/>
        <s v="A00017305" u="1"/>
        <s v="A00299349" u="1"/>
        <s v="A01637470" u="1"/>
        <s v="A00016923" u="1"/>
        <s v="A01672473" u="1"/>
        <s v="A02312964" u="1"/>
        <s v="A00017161" u="1"/>
      </sharedItems>
    </cacheField>
    <cacheField name="Name" numFmtId="0">
      <sharedItems containsBlank="1"/>
    </cacheField>
    <cacheField name="Age" numFmtId="0">
      <sharedItems containsString="0" containsBlank="1" containsNumber="1" containsInteger="1" minValue="50" maxValue="81"/>
    </cacheField>
    <cacheField name="High Earner" numFmtId="0">
      <sharedItems containsBlank="1"/>
    </cacheField>
    <cacheField name="Main Pretax" numFmtId="43">
      <sharedItems containsString="0" containsBlank="1" containsNumber="1" minValue="0" maxValue="27600"/>
    </cacheField>
    <cacheField name="Main Roth" numFmtId="43">
      <sharedItems containsString="0" containsBlank="1" containsNumber="1" minValue="0" maxValue="26733.24"/>
    </cacheField>
    <cacheField name="457 Pretax" numFmtId="43">
      <sharedItems containsString="0" containsBlank="1" containsNumber="1" minValue="0" maxValue="27600"/>
    </cacheField>
    <cacheField name="457 Roth" numFmtId="43">
      <sharedItems containsString="0" containsBlank="1" containsNumber="1" minValue="0" maxValue="4173.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x v="0"/>
    <s v="Aaron J. Whitfield"/>
    <n v="59"/>
    <s v="N"/>
    <n v="0"/>
    <n v="0"/>
    <n v="0"/>
    <n v="0"/>
  </r>
  <r>
    <x v="0"/>
    <s v="Aaron J. Whitfield"/>
    <n v="59"/>
    <s v="N"/>
    <n v="0"/>
    <n v="0"/>
    <n v="0"/>
    <n v="0"/>
  </r>
  <r>
    <x v="0"/>
    <s v="Aaron J. Whitfield"/>
    <n v="59"/>
    <s v="N"/>
    <n v="0"/>
    <n v="0"/>
    <n v="0"/>
    <n v="0"/>
  </r>
  <r>
    <x v="0"/>
    <s v="Aaron J. Whitfield"/>
    <n v="59"/>
    <s v="N"/>
    <n v="345.6"/>
    <n v="0"/>
    <n v="0"/>
    <n v="0"/>
  </r>
  <r>
    <x v="0"/>
    <s v="Aaron J. Whitfield"/>
    <n v="59"/>
    <s v="N"/>
    <n v="691.2"/>
    <n v="0"/>
    <n v="0"/>
    <n v="0"/>
  </r>
  <r>
    <x v="1"/>
    <s v="Benjamin A. Foster"/>
    <n v="59"/>
    <s v="N"/>
    <n v="0"/>
    <n v="0"/>
    <n v="0"/>
    <n v="0"/>
  </r>
  <r>
    <x v="1"/>
    <s v="Benjamin A. Foster"/>
    <n v="59"/>
    <s v="N"/>
    <n v="0"/>
    <n v="0"/>
    <n v="0"/>
    <n v="0"/>
  </r>
  <r>
    <x v="1"/>
    <s v="Benjamin A. Foster"/>
    <n v="59"/>
    <s v="N"/>
    <n v="0"/>
    <n v="0"/>
    <n v="0"/>
    <n v="0"/>
  </r>
  <r>
    <x v="1"/>
    <s v="Benjamin A. Foster"/>
    <n v="59"/>
    <s v="N"/>
    <n v="489.59999999999997"/>
    <n v="0"/>
    <n v="0"/>
    <n v="0"/>
  </r>
  <r>
    <x v="2"/>
    <s v="Claire Elizabeth Monroe"/>
    <n v="57"/>
    <s v="Y"/>
    <n v="0"/>
    <n v="0"/>
    <n v="0"/>
    <n v="0"/>
  </r>
  <r>
    <x v="2"/>
    <s v="Claire Elizabeth Monroe"/>
    <n v="57"/>
    <s v="Y"/>
    <n v="0"/>
    <n v="0"/>
    <n v="0"/>
    <n v="4173.84"/>
  </r>
  <r>
    <x v="2"/>
    <s v="Claire Elizabeth Monroe"/>
    <n v="57"/>
    <s v="Y"/>
    <n v="0"/>
    <n v="0"/>
    <n v="24500"/>
    <n v="0"/>
  </r>
  <r>
    <x v="2"/>
    <s v="Claire Elizabeth Monroe"/>
    <n v="57"/>
    <s v="Y"/>
    <n v="0"/>
    <n v="26733.24"/>
    <n v="0"/>
    <n v="0"/>
  </r>
  <r>
    <x v="3"/>
    <s v="Daniel R. Holloway"/>
    <n v="53"/>
    <s v="N"/>
    <n v="0"/>
    <n v="0"/>
    <n v="0"/>
    <n v="0"/>
  </r>
  <r>
    <x v="3"/>
    <s v="Daniel R. Holloway"/>
    <n v="53"/>
    <s v="N"/>
    <n v="0"/>
    <n v="450"/>
    <n v="0"/>
    <n v="0"/>
  </r>
  <r>
    <x v="3"/>
    <s v="Daniel R. Holloway"/>
    <n v="53"/>
    <s v="N"/>
    <n v="0"/>
    <n v="0"/>
    <n v="0"/>
    <n v="0"/>
  </r>
  <r>
    <x v="3"/>
    <s v="Daniel R. Holloway"/>
    <n v="53"/>
    <s v="N"/>
    <n v="1895.7599999999998"/>
    <n v="0"/>
    <n v="0"/>
    <n v="0"/>
  </r>
  <r>
    <x v="4"/>
    <s v="Emily J. Harrington"/>
    <n v="54"/>
    <s v="Y"/>
    <n v="0"/>
    <n v="0"/>
    <n v="0"/>
    <n v="0"/>
  </r>
  <r>
    <x v="4"/>
    <s v="Emily J. Harrington"/>
    <n v="54"/>
    <s v="Y"/>
    <n v="0"/>
    <n v="0"/>
    <n v="0"/>
    <n v="900"/>
  </r>
  <r>
    <x v="4"/>
    <s v="Emily J. Harrington"/>
    <n v="54"/>
    <s v="Y"/>
    <n v="3663"/>
    <n v="0"/>
    <n v="0"/>
    <n v="0"/>
  </r>
  <r>
    <x v="4"/>
    <s v="Emily J. Harrington"/>
    <n v="54"/>
    <s v="Y"/>
    <n v="0"/>
    <n v="4500"/>
    <n v="0"/>
    <n v="0"/>
  </r>
  <r>
    <x v="4"/>
    <s v="Emily J. Harrington"/>
    <n v="54"/>
    <s v="Y"/>
    <n v="0"/>
    <n v="0"/>
    <n v="4500"/>
    <n v="0"/>
  </r>
  <r>
    <x v="4"/>
    <s v="Emily J. Harrington"/>
    <n v="54"/>
    <s v="Y"/>
    <n v="0"/>
    <n v="0"/>
    <n v="0"/>
    <n v="0"/>
  </r>
  <r>
    <x v="5"/>
    <s v="Hannah Lowell Reed"/>
    <n v="53"/>
    <s v="N"/>
    <n v="0"/>
    <n v="0"/>
    <n v="0"/>
    <n v="0"/>
  </r>
  <r>
    <x v="5"/>
    <s v="Hannah Lowell Reed"/>
    <n v="53"/>
    <s v="N"/>
    <n v="0"/>
    <n v="0"/>
    <n v="1242"/>
    <n v="0"/>
  </r>
  <r>
    <x v="5"/>
    <s v="Hannah Lowell Reed"/>
    <n v="53"/>
    <s v="N"/>
    <n v="1270.44"/>
    <n v="0"/>
    <n v="0"/>
    <n v="0"/>
  </r>
  <r>
    <x v="5"/>
    <s v="Hannah Lowell Reed"/>
    <n v="53"/>
    <s v="N"/>
    <n v="0"/>
    <n v="0"/>
    <n v="0"/>
    <n v="0"/>
  </r>
  <r>
    <x v="5"/>
    <s v="Hannah Lowell Reed"/>
    <n v="53"/>
    <s v="N"/>
    <n v="0"/>
    <n v="0"/>
    <n v="0"/>
    <n v="0"/>
  </r>
  <r>
    <x v="5"/>
    <s v="Hannah Lowell Reed"/>
    <n v="53"/>
    <s v="N"/>
    <n v="0"/>
    <n v="0"/>
    <n v="0"/>
    <n v="0"/>
  </r>
  <r>
    <x v="6"/>
    <s v="Isaac P. Nakamura"/>
    <n v="52"/>
    <s v="Y"/>
    <n v="0"/>
    <n v="0"/>
    <n v="15750"/>
    <n v="0"/>
  </r>
  <r>
    <x v="6"/>
    <s v="Isaac P. Nakamura"/>
    <n v="52"/>
    <s v="Y"/>
    <n v="0"/>
    <n v="0"/>
    <n v="0"/>
    <n v="0"/>
  </r>
  <r>
    <x v="6"/>
    <s v="Isaac P. Nakamura"/>
    <n v="52"/>
    <s v="Y"/>
    <n v="0"/>
    <n v="0"/>
    <n v="0"/>
    <n v="0"/>
  </r>
  <r>
    <x v="7"/>
    <s v="Jordan Blake Thompson"/>
    <n v="51"/>
    <s v="N"/>
    <n v="0"/>
    <n v="0"/>
    <n v="10706.22"/>
    <n v="0"/>
  </r>
  <r>
    <x v="7"/>
    <s v="Jordan Blake Thompson"/>
    <n v="51"/>
    <s v="N"/>
    <n v="1595.52"/>
    <n v="0"/>
    <n v="0"/>
    <n v="0"/>
  </r>
  <r>
    <x v="7"/>
    <s v="Jordan Blake Thompson"/>
    <n v="51"/>
    <s v="N"/>
    <n v="0"/>
    <n v="0"/>
    <n v="0"/>
    <n v="0"/>
  </r>
  <r>
    <x v="7"/>
    <s v="Jordan Blake Thompson"/>
    <n v="51"/>
    <s v="N"/>
    <n v="0"/>
    <n v="0"/>
    <n v="0"/>
    <n v="0"/>
  </r>
  <r>
    <x v="7"/>
    <s v="Jordan Blake Thompson"/>
    <n v="51"/>
    <s v="N"/>
    <n v="0"/>
    <n v="0"/>
    <n v="10706.22"/>
    <n v="0"/>
  </r>
  <r>
    <x v="8"/>
    <s v="Lina M. Alvarez"/>
    <n v="81"/>
    <s v="N"/>
    <n v="0"/>
    <n v="0"/>
    <n v="0"/>
    <n v="0"/>
  </r>
  <r>
    <x v="8"/>
    <s v="Lina M. Alvarez"/>
    <n v="81"/>
    <s v="N"/>
    <n v="0"/>
    <n v="0"/>
    <n v="7380"/>
    <n v="0"/>
  </r>
  <r>
    <x v="8"/>
    <s v="Lina M. Alvarez"/>
    <n v="81"/>
    <s v="N"/>
    <n v="7254"/>
    <n v="0"/>
    <n v="0"/>
    <n v="0"/>
  </r>
  <r>
    <x v="8"/>
    <s v="Lina M. Alvarez"/>
    <n v="81"/>
    <s v="N"/>
    <n v="7263"/>
    <n v="0"/>
    <n v="0"/>
    <n v="0"/>
  </r>
  <r>
    <x v="8"/>
    <s v="Lina M. Alvarez"/>
    <n v="81"/>
    <s v="N"/>
    <n v="0"/>
    <n v="0"/>
    <n v="0"/>
    <n v="0"/>
  </r>
  <r>
    <x v="8"/>
    <s v="Lina M. Alvarez"/>
    <n v="81"/>
    <s v="N"/>
    <n v="0"/>
    <n v="0"/>
    <n v="7191"/>
    <n v="0"/>
  </r>
  <r>
    <x v="9"/>
    <s v="Marcus T. O’Neill"/>
    <n v="54"/>
    <s v="N"/>
    <n v="0"/>
    <n v="225"/>
    <n v="0"/>
    <n v="0"/>
  </r>
  <r>
    <x v="9"/>
    <s v="Marcus T. O’Neill"/>
    <n v="54"/>
    <s v="N"/>
    <n v="0"/>
    <n v="0"/>
    <n v="0"/>
    <n v="0"/>
  </r>
  <r>
    <x v="9"/>
    <s v="Marcus T. O’Neill"/>
    <n v="54"/>
    <s v="N"/>
    <n v="0"/>
    <n v="0"/>
    <n v="450"/>
    <n v="0"/>
  </r>
  <r>
    <x v="9"/>
    <s v="Marcus T. O’Neill"/>
    <n v="54"/>
    <s v="N"/>
    <n v="0"/>
    <n v="0"/>
    <n v="0"/>
    <n v="0"/>
  </r>
  <r>
    <x v="9"/>
    <s v="Marcus T. O’Neill"/>
    <n v="54"/>
    <s v="N"/>
    <n v="0"/>
    <n v="0"/>
    <n v="0"/>
    <n v="0"/>
  </r>
  <r>
    <x v="9"/>
    <s v="Marcus T. O’Neill"/>
    <n v="54"/>
    <s v="N"/>
    <n v="225"/>
    <n v="0"/>
    <n v="0"/>
    <n v="0"/>
  </r>
  <r>
    <x v="9"/>
    <s v="Marcus T. O’Neill"/>
    <n v="54"/>
    <s v="N"/>
    <n v="1063.98"/>
    <n v="0"/>
    <n v="0"/>
    <n v="0"/>
  </r>
  <r>
    <x v="10"/>
    <s v="Melissa Anne Carter"/>
    <n v="59"/>
    <s v="N"/>
    <n v="0"/>
    <n v="0"/>
    <n v="911.69999999999993"/>
    <n v="0"/>
  </r>
  <r>
    <x v="10"/>
    <s v="Melissa Anne Carter"/>
    <n v="59"/>
    <s v="N"/>
    <n v="455.76"/>
    <n v="0"/>
    <n v="0"/>
    <n v="0"/>
  </r>
  <r>
    <x v="10"/>
    <s v="Melissa Anne Carter"/>
    <n v="59"/>
    <s v="N"/>
    <n v="900"/>
    <n v="0"/>
    <n v="0"/>
    <n v="0"/>
  </r>
  <r>
    <x v="10"/>
    <s v="Melissa Anne Carter"/>
    <n v="59"/>
    <s v="N"/>
    <n v="900"/>
    <n v="0"/>
    <n v="0"/>
    <n v="0"/>
  </r>
  <r>
    <x v="10"/>
    <s v="Melissa Anne Carter"/>
    <n v="59"/>
    <s v="N"/>
    <n v="0"/>
    <n v="0"/>
    <n v="0"/>
    <n v="0"/>
  </r>
  <r>
    <x v="10"/>
    <s v="Melissa Anne Carter"/>
    <n v="59"/>
    <s v="N"/>
    <n v="900"/>
    <n v="0"/>
    <n v="0"/>
    <n v="0"/>
  </r>
  <r>
    <x v="10"/>
    <s v="Melissa Anne Carter"/>
    <n v="59"/>
    <s v="N"/>
    <n v="0"/>
    <n v="0"/>
    <n v="0"/>
    <n v="0"/>
  </r>
  <r>
    <x v="11"/>
    <s v="Naomi K. Rosen"/>
    <n v="52"/>
    <s v="N"/>
    <n v="0"/>
    <n v="0"/>
    <n v="180"/>
    <n v="0"/>
  </r>
  <r>
    <x v="11"/>
    <s v="Naomi K. Rosen"/>
    <n v="52"/>
    <s v="N"/>
    <n v="2700"/>
    <n v="0"/>
    <n v="0"/>
    <n v="0"/>
  </r>
  <r>
    <x v="11"/>
    <s v="Naomi K. Rosen"/>
    <n v="52"/>
    <s v="N"/>
    <n v="0"/>
    <n v="0"/>
    <n v="0"/>
    <n v="0"/>
  </r>
  <r>
    <x v="11"/>
    <s v="Naomi K. Rosen"/>
    <n v="52"/>
    <s v="N"/>
    <n v="270"/>
    <n v="0"/>
    <n v="0"/>
    <n v="0"/>
  </r>
  <r>
    <x v="11"/>
    <s v="Naomi K. Rosen"/>
    <n v="52"/>
    <s v="N"/>
    <n v="0"/>
    <n v="0"/>
    <n v="0"/>
    <n v="0"/>
  </r>
  <r>
    <x v="12"/>
    <s v="Omar N. Khalid"/>
    <n v="52"/>
    <s v="Y"/>
    <n v="15200"/>
    <n v="0"/>
    <n v="0"/>
    <n v="0"/>
  </r>
  <r>
    <x v="12"/>
    <s v="Omar N. Khalid"/>
    <n v="52"/>
    <s v="Y"/>
    <n v="0"/>
    <n v="0"/>
    <n v="0"/>
    <n v="0"/>
  </r>
  <r>
    <x v="12"/>
    <s v="Omar N. Khalid"/>
    <n v="52"/>
    <s v="Y"/>
    <n v="0"/>
    <n v="0"/>
    <n v="0"/>
    <n v="0"/>
  </r>
  <r>
    <x v="12"/>
    <s v="Omar N. Khalid"/>
    <n v="52"/>
    <s v="Y"/>
    <n v="0"/>
    <n v="0"/>
    <n v="0"/>
    <n v="0"/>
  </r>
  <r>
    <x v="12"/>
    <s v="Omar N. Khalid"/>
    <n v="52"/>
    <s v="Y"/>
    <n v="12570.28"/>
    <n v="0"/>
    <n v="0"/>
    <n v="0"/>
  </r>
  <r>
    <x v="12"/>
    <s v="Omar N. Khalid"/>
    <n v="52"/>
    <s v="Y"/>
    <n v="0"/>
    <n v="0"/>
    <n v="0"/>
    <n v="0"/>
  </r>
  <r>
    <x v="13"/>
    <s v="Priya Malhotra"/>
    <n v="50"/>
    <s v="N"/>
    <n v="0"/>
    <n v="0"/>
    <n v="0"/>
    <n v="0"/>
  </r>
  <r>
    <x v="13"/>
    <s v="Priya Malhotra"/>
    <n v="50"/>
    <s v="N"/>
    <n v="0"/>
    <n v="0"/>
    <n v="5400"/>
    <n v="0"/>
  </r>
  <r>
    <x v="13"/>
    <s v="Priya Malhotra"/>
    <n v="50"/>
    <s v="N"/>
    <n v="1800"/>
    <n v="0"/>
    <n v="0"/>
    <n v="0"/>
  </r>
  <r>
    <x v="13"/>
    <s v="Priya Malhotra"/>
    <n v="50"/>
    <s v="N"/>
    <n v="1730.34"/>
    <n v="0"/>
    <n v="0"/>
    <n v="0"/>
  </r>
  <r>
    <x v="13"/>
    <s v="Priya Malhotra"/>
    <n v="50"/>
    <s v="N"/>
    <n v="0"/>
    <n v="0"/>
    <n v="0"/>
    <n v="0"/>
  </r>
  <r>
    <x v="14"/>
    <s v="Sofia Del Pilar Cruz"/>
    <n v="53"/>
    <s v="N"/>
    <n v="0"/>
    <n v="0"/>
    <n v="0"/>
    <n v="0"/>
  </r>
  <r>
    <x v="14"/>
    <s v="Sofia Del Pilar Cruz"/>
    <n v="53"/>
    <s v="N"/>
    <n v="0"/>
    <n v="0"/>
    <n v="0"/>
    <n v="0"/>
  </r>
  <r>
    <x v="14"/>
    <s v="Sofia Del Pilar Cruz"/>
    <n v="53"/>
    <s v="N"/>
    <n v="0"/>
    <n v="225"/>
    <n v="0"/>
    <n v="0"/>
  </r>
  <r>
    <x v="14"/>
    <s v="Sofia Del Pilar Cruz"/>
    <n v="53"/>
    <s v="N"/>
    <n v="0"/>
    <n v="0"/>
    <n v="0"/>
    <n v="0"/>
  </r>
  <r>
    <x v="14"/>
    <s v="Sofia Del Pilar Cruz"/>
    <n v="53"/>
    <s v="N"/>
    <n v="0"/>
    <n v="225"/>
    <n v="0"/>
    <n v="0"/>
  </r>
  <r>
    <x v="14"/>
    <s v="Sofia Del Pilar Cruz"/>
    <n v="53"/>
    <s v="N"/>
    <n v="0"/>
    <n v="0"/>
    <n v="0"/>
    <n v="0"/>
  </r>
  <r>
    <x v="15"/>
    <s v="Thomas Edward Grayson"/>
    <n v="51"/>
    <s v="N"/>
    <n v="0"/>
    <n v="1800"/>
    <n v="0"/>
    <n v="0"/>
  </r>
  <r>
    <x v="15"/>
    <s v="Thomas Edward Grayson"/>
    <n v="51"/>
    <s v="N"/>
    <n v="1125"/>
    <n v="0"/>
    <n v="0"/>
    <n v="0"/>
  </r>
  <r>
    <x v="15"/>
    <s v="Thomas Edward Grayson"/>
    <n v="51"/>
    <s v="N"/>
    <n v="0"/>
    <n v="1800"/>
    <n v="0"/>
    <n v="0"/>
  </r>
  <r>
    <x v="15"/>
    <s v="Thomas Edward Grayson"/>
    <n v="51"/>
    <s v="N"/>
    <n v="0"/>
    <n v="0"/>
    <n v="0"/>
    <n v="0"/>
  </r>
  <r>
    <x v="15"/>
    <s v="Thomas Edward Grayson"/>
    <n v="51"/>
    <s v="N"/>
    <n v="0"/>
    <n v="0"/>
    <n v="0"/>
    <n v="0"/>
  </r>
  <r>
    <x v="15"/>
    <s v="Thomas Edward Grayson"/>
    <n v="51"/>
    <s v="N"/>
    <n v="0"/>
    <n v="0"/>
    <n v="0"/>
    <n v="0"/>
  </r>
  <r>
    <x v="16"/>
    <s v="Valentina Ruiz"/>
    <n v="53"/>
    <s v="N"/>
    <n v="744.48"/>
    <n v="0"/>
    <n v="0"/>
    <n v="0"/>
  </r>
  <r>
    <x v="16"/>
    <s v="Valentina Ruiz"/>
    <n v="53"/>
    <s v="N"/>
    <n v="0"/>
    <n v="0"/>
    <n v="225"/>
    <n v="0"/>
  </r>
  <r>
    <x v="16"/>
    <s v="Valentina Ruiz"/>
    <n v="53"/>
    <s v="N"/>
    <n v="0"/>
    <n v="225"/>
    <n v="0"/>
    <n v="0"/>
  </r>
  <r>
    <x v="16"/>
    <s v="Valentina Ruiz"/>
    <n v="53"/>
    <s v="N"/>
    <n v="0"/>
    <n v="0"/>
    <n v="0"/>
    <n v="225"/>
  </r>
  <r>
    <x v="16"/>
    <s v="Valentina Ruiz"/>
    <n v="53"/>
    <s v="N"/>
    <n v="0"/>
    <n v="0"/>
    <n v="225"/>
    <n v="0"/>
  </r>
  <r>
    <x v="16"/>
    <s v="Valentina Ruiz"/>
    <n v="53"/>
    <s v="N"/>
    <n v="0"/>
    <n v="225"/>
    <n v="0"/>
    <n v="0"/>
  </r>
  <r>
    <x v="16"/>
    <s v="Valentina Ruiz"/>
    <n v="53"/>
    <s v="N"/>
    <n v="0"/>
    <n v="0"/>
    <n v="0"/>
    <n v="0"/>
  </r>
  <r>
    <x v="16"/>
    <s v="Valentina Ruiz"/>
    <n v="53"/>
    <s v="N"/>
    <n v="0"/>
    <n v="0"/>
    <n v="0"/>
    <n v="225"/>
  </r>
  <r>
    <x v="17"/>
    <s v="Victor Santiago Perez"/>
    <n v="63"/>
    <s v="Y"/>
    <n v="0"/>
    <n v="0"/>
    <n v="0"/>
    <n v="0"/>
  </r>
  <r>
    <x v="17"/>
    <s v="Victor Santiago Perez"/>
    <n v="63"/>
    <s v="Y"/>
    <n v="0"/>
    <n v="0"/>
    <n v="0"/>
    <n v="0"/>
  </r>
  <r>
    <x v="17"/>
    <s v="Victor Santiago Perez"/>
    <n v="63"/>
    <s v="Y"/>
    <n v="0"/>
    <n v="0"/>
    <n v="0"/>
    <n v="0"/>
  </r>
  <r>
    <x v="17"/>
    <s v="Victor Santiago Perez"/>
    <n v="63"/>
    <s v="Y"/>
    <n v="0"/>
    <n v="0"/>
    <n v="27600"/>
    <n v="0"/>
  </r>
  <r>
    <x v="17"/>
    <s v="Victor Santiago Perez"/>
    <n v="63"/>
    <s v="Y"/>
    <n v="27600"/>
    <n v="0"/>
    <n v="0"/>
    <n v="0"/>
  </r>
  <r>
    <x v="2"/>
    <s v="Claire Elizabeth Monroe"/>
    <n v="57"/>
    <s v="N"/>
    <n v="0"/>
    <n v="0"/>
    <n v="0"/>
    <n v="0"/>
  </r>
  <r>
    <x v="2"/>
    <s v="Claire Elizabeth Monroe"/>
    <n v="57"/>
    <s v="N"/>
    <n v="0"/>
    <n v="0"/>
    <n v="0"/>
    <n v="200"/>
  </r>
  <r>
    <x v="2"/>
    <s v="Claire Elizabeth Monroe"/>
    <n v="57"/>
    <s v="N"/>
    <n v="0"/>
    <n v="0"/>
    <n v="1800"/>
    <n v="0"/>
  </r>
  <r>
    <x v="2"/>
    <s v="Claire Elizabeth Monroe"/>
    <n v="57"/>
    <s v="N"/>
    <n v="0"/>
    <n v="2000"/>
    <n v="0"/>
    <n v="0"/>
  </r>
  <r>
    <x v="3"/>
    <s v="Daniel R. Holloway"/>
    <n v="53"/>
    <s v="N"/>
    <n v="0"/>
    <n v="0"/>
    <n v="0"/>
    <n v="0"/>
  </r>
  <r>
    <x v="3"/>
    <s v="Daniel R. Holloway"/>
    <n v="53"/>
    <s v="N"/>
    <n v="0"/>
    <n v="300"/>
    <n v="0"/>
    <n v="0"/>
  </r>
  <r>
    <x v="3"/>
    <s v="Daniel R. Holloway"/>
    <n v="53"/>
    <s v="N"/>
    <n v="0"/>
    <n v="0"/>
    <n v="0"/>
    <n v="0"/>
  </r>
  <r>
    <x v="3"/>
    <s v="Daniel R. Holloway"/>
    <n v="53"/>
    <s v="N"/>
    <n v="400"/>
    <n v="0"/>
    <n v="0"/>
    <n v="0"/>
  </r>
  <r>
    <x v="18"/>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B27579-5C56-41F6-A962-0CEEA99ED2A1}"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E23" firstHeaderRow="0" firstDataRow="1" firstDataCol="1"/>
  <pivotFields count="8">
    <pivotField axis="axisRow" showAll="0">
      <items count="1522">
        <item m="1" x="1297"/>
        <item m="1" x="102"/>
        <item m="1" x="1494"/>
        <item m="1" x="1017"/>
        <item m="1" x="824"/>
        <item m="1" x="855"/>
        <item m="1" x="1385"/>
        <item m="1" x="1290"/>
        <item m="1" x="1493"/>
        <item m="1" x="1294"/>
        <item m="1" x="1512"/>
        <item m="1" x="229"/>
        <item m="1" x="1460"/>
        <item m="1" x="416"/>
        <item m="1" x="1112"/>
        <item m="1" x="904"/>
        <item m="1" x="894"/>
        <item m="1" x="1038"/>
        <item m="1" x="1180"/>
        <item m="1" x="621"/>
        <item m="1" x="843"/>
        <item m="1" x="1341"/>
        <item m="1" x="833"/>
        <item m="1" x="1088"/>
        <item m="1" x="603"/>
        <item m="1" x="643"/>
        <item m="1" x="649"/>
        <item m="1" x="1467"/>
        <item m="1" x="562"/>
        <item m="1" x="700"/>
        <item m="1" x="1383"/>
        <item m="1" x="1311"/>
        <item m="1" x="175"/>
        <item m="1" x="586"/>
        <item m="1" x="1033"/>
        <item m="1" x="1056"/>
        <item m="1" x="729"/>
        <item m="1" x="806"/>
        <item m="1" x="1242"/>
        <item m="1" x="1204"/>
        <item m="1" x="1162"/>
        <item m="1" x="1011"/>
        <item m="1" x="995"/>
        <item m="1" x="685"/>
        <item m="1" x="301"/>
        <item m="1" x="476"/>
        <item m="1" x="499"/>
        <item m="1" x="780"/>
        <item m="1" x="1189"/>
        <item m="1" x="340"/>
        <item m="1" x="528"/>
        <item m="1" x="449"/>
        <item m="1" x="597"/>
        <item m="1" x="1003"/>
        <item m="1" x="642"/>
        <item m="1" x="1381"/>
        <item m="1" x="987"/>
        <item m="1" x="953"/>
        <item m="1" x="274"/>
        <item m="1" x="145"/>
        <item m="1" x="589"/>
        <item m="1" x="183"/>
        <item m="1" x="121"/>
        <item m="1" x="1059"/>
        <item m="1" x="1465"/>
        <item m="1" x="922"/>
        <item m="1" x="1230"/>
        <item m="1" x="956"/>
        <item m="1" x="710"/>
        <item m="1" x="481"/>
        <item m="1" x="1047"/>
        <item m="1" x="1442"/>
        <item m="1" x="1303"/>
        <item m="1" x="357"/>
        <item m="1" x="358"/>
        <item m="1" x="1222"/>
        <item m="1" x="1423"/>
        <item m="1" x="1024"/>
        <item m="1" x="1159"/>
        <item m="1" x="1022"/>
        <item m="1" x="1417"/>
        <item m="1" x="986"/>
        <item m="1" x="854"/>
        <item m="1" x="250"/>
        <item m="1" x="1058"/>
        <item m="1" x="1052"/>
        <item m="1" x="1149"/>
        <item m="1" x="1175"/>
        <item m="1" x="397"/>
        <item m="1" x="836"/>
        <item m="1" x="550"/>
        <item m="1" x="721"/>
        <item m="1" x="601"/>
        <item m="1" x="30"/>
        <item m="1" x="842"/>
        <item m="1" x="1344"/>
        <item m="1" x="1444"/>
        <item m="1" x="329"/>
        <item m="1" x="1400"/>
        <item m="1" x="1339"/>
        <item m="1" x="364"/>
        <item m="1" x="224"/>
        <item m="1" x="1410"/>
        <item m="1" x="374"/>
        <item m="1" x="1251"/>
        <item m="1" x="176"/>
        <item m="1" x="850"/>
        <item m="1" x="65"/>
        <item m="1" x="1284"/>
        <item m="1" x="325"/>
        <item m="1" x="1271"/>
        <item m="1" x="31"/>
        <item m="1" x="1473"/>
        <item m="1" x="1213"/>
        <item m="1" x="1399"/>
        <item m="1" x="1113"/>
        <item m="1" x="222"/>
        <item m="1" x="107"/>
        <item m="1" x="1378"/>
        <item m="1" x="840"/>
        <item m="1" x="958"/>
        <item m="1" x="1111"/>
        <item m="1" x="745"/>
        <item m="1" x="985"/>
        <item m="1" x="746"/>
        <item m="1" x="792"/>
        <item m="1" x="1264"/>
        <item m="1" x="1315"/>
        <item m="1" x="239"/>
        <item m="1" x="1368"/>
        <item m="1" x="195"/>
        <item m="1" x="999"/>
        <item m="1" x="1202"/>
        <item m="1" x="819"/>
        <item m="1" x="584"/>
        <item m="1" x="1367"/>
        <item m="1" x="1321"/>
        <item m="1" x="1007"/>
        <item m="1" x="318"/>
        <item m="1" x="1276"/>
        <item m="1" x="237"/>
        <item m="1" x="477"/>
        <item m="1" x="1246"/>
        <item m="1" x="1006"/>
        <item m="1" x="1377"/>
        <item m="1" x="927"/>
        <item m="1" x="755"/>
        <item m="1" x="216"/>
        <item m="1" x="214"/>
        <item m="1" x="1141"/>
        <item m="1" x="201"/>
        <item m="1" x="1269"/>
        <item m="1" x="146"/>
        <item m="1" x="269"/>
        <item m="1" x="684"/>
        <item m="1" x="907"/>
        <item m="1" x="457"/>
        <item m="1" x="1174"/>
        <item m="1" x="1227"/>
        <item m="1" x="549"/>
        <item m="1" x="905"/>
        <item m="1" x="822"/>
        <item m="1" x="1424"/>
        <item m="1" x="724"/>
        <item m="1" x="185"/>
        <item m="1" x="1153"/>
        <item m="1" x="328"/>
        <item m="1" x="1265"/>
        <item m="1" x="230"/>
        <item m="1" x="1127"/>
        <item m="1" x="1221"/>
        <item m="1" x="1147"/>
        <item m="1" x="1478"/>
        <item m="1" x="885"/>
        <item m="1" x="683"/>
        <item m="1" x="323"/>
        <item m="1" x="699"/>
        <item m="1" x="575"/>
        <item m="1" x="501"/>
        <item m="1" x="788"/>
        <item m="1" x="719"/>
        <item m="1" x="1132"/>
        <item m="1" x="732"/>
        <item m="1" x="359"/>
        <item m="1" x="339"/>
        <item m="1" x="637"/>
        <item m="1" x="455"/>
        <item m="1" x="246"/>
        <item m="1" x="775"/>
        <item m="1" x="458"/>
        <item m="1" x="758"/>
        <item m="1" x="1337"/>
        <item m="1" x="546"/>
        <item m="1" x="1348"/>
        <item m="1" x="1034"/>
        <item m="1" x="866"/>
        <item m="1" x="1349"/>
        <item m="1" x="1428"/>
        <item m="1" x="811"/>
        <item m="1" x="968"/>
        <item m="1" x="378"/>
        <item m="1" x="1241"/>
        <item m="1" x="297"/>
        <item m="1" x="21"/>
        <item m="1" x="1166"/>
        <item m="1" x="1380"/>
        <item m="1" x="1419"/>
        <item m="1" x="1030"/>
        <item m="1" x="977"/>
        <item m="1" x="58"/>
        <item m="1" x="552"/>
        <item m="1" x="85"/>
        <item m="1" x="859"/>
        <item m="1" x="47"/>
        <item m="1" x="202"/>
        <item m="1" x="1253"/>
        <item m="1" x="591"/>
        <item m="1" x="704"/>
        <item m="1" x="438"/>
        <item m="1" x="769"/>
        <item m="1" x="159"/>
        <item m="1" x="1304"/>
        <item m="1" x="978"/>
        <item m="1" x="1422"/>
        <item m="1" x="640"/>
        <item m="1" x="1479"/>
        <item m="1" x="1068"/>
        <item m="1" x="945"/>
        <item m="1" x="545"/>
        <item m="1" x="1091"/>
        <item m="1" x="1121"/>
        <item m="1" x="1405"/>
        <item m="1" x="1136"/>
        <item m="1" x="1126"/>
        <item m="1" x="304"/>
        <item m="1" x="504"/>
        <item m="1" x="828"/>
        <item m="1" x="1012"/>
        <item m="1" x="1441"/>
        <item m="1" x="1161"/>
        <item m="1" x="275"/>
        <item m="1" x="1188"/>
        <item m="1" x="408"/>
        <item m="1" x="535"/>
        <item m="1" x="579"/>
        <item m="1" x="583"/>
        <item m="1" x="1351"/>
        <item m="1" x="1470"/>
        <item m="1" x="498"/>
        <item m="1" x="1098"/>
        <item m="1" x="473"/>
        <item m="1" x="209"/>
        <item m="1" x="610"/>
        <item m="1" x="46"/>
        <item m="1" x="198"/>
        <item m="1" x="963"/>
        <item m="1" x="475"/>
        <item m="1" x="950"/>
        <item m="1" x="1427"/>
        <item m="1" x="86"/>
        <item m="1" x="1259"/>
        <item m="1" x="707"/>
        <item m="1" x="368"/>
        <item m="1" x="518"/>
        <item m="1" x="1045"/>
        <item m="1" x="1019"/>
        <item m="1" x="218"/>
        <item m="1" x="360"/>
        <item m="1" x="921"/>
        <item m="1" x="53"/>
        <item m="1" x="872"/>
        <item m="1" x="650"/>
        <item m="1" x="928"/>
        <item m="1" x="1445"/>
        <item m="1" x="581"/>
        <item m="1" x="784"/>
        <item m="1" x="1462"/>
        <item m="1" x="502"/>
        <item m="1" x="1235"/>
        <item m="1" x="667"/>
        <item m="1" x="619"/>
        <item m="1" x="1029"/>
        <item m="1" x="1333"/>
        <item m="1" x="1438"/>
        <item m="1" x="244"/>
        <item m="1" x="752"/>
        <item m="1" x="144"/>
        <item m="1" x="113"/>
        <item m="1" x="682"/>
        <item m="1" x="1148"/>
        <item m="1" x="331"/>
        <item m="1" x="1249"/>
        <item m="1" x="622"/>
        <item m="1" x="1139"/>
        <item m="1" x="839"/>
        <item m="1" x="20"/>
        <item m="1" x="1453"/>
        <item m="1" x="639"/>
        <item m="1" x="1517"/>
        <item m="1" x="171"/>
        <item m="1" x="1343"/>
        <item m="1" x="617"/>
        <item m="1" x="273"/>
        <item m="1" x="1233"/>
        <item m="1" x="1210"/>
        <item m="1" x="697"/>
        <item m="1" x="1106"/>
        <item m="1" x="1335"/>
        <item m="1" x="284"/>
        <item m="1" x="1195"/>
        <item m="1" x="196"/>
        <item m="1" x="725"/>
        <item m="1" x="754"/>
        <item m="1" x="40"/>
        <item m="1" x="574"/>
        <item m="1" x="1129"/>
        <item m="1" x="875"/>
        <item m="1" x="1173"/>
        <item m="1" x="1114"/>
        <item m="1" x="1220"/>
        <item m="1" x="1135"/>
        <item m="1" x="448"/>
        <item m="1" x="413"/>
        <item m="1" x="373"/>
        <item m="1" x="930"/>
        <item m="1" x="846"/>
        <item m="1" x="131"/>
        <item m="1" x="623"/>
        <item m="1" x="790"/>
        <item m="1" x="1394"/>
        <item m="1" x="93"/>
        <item m="1" x="1466"/>
        <item m="1" x="380"/>
        <item m="1" x="673"/>
        <item m="1" x="1435"/>
        <item m="1" x="472"/>
        <item m="1" x="720"/>
        <item m="1" x="1103"/>
        <item m="1" x="1520"/>
        <item m="1" x="1224"/>
        <item m="1" x="1035"/>
        <item m="1" x="67"/>
        <item m="1" x="590"/>
        <item m="1" x="984"/>
        <item m="1" x="989"/>
        <item m="1" x="1425"/>
        <item m="1" x="116"/>
        <item m="1" x="1421"/>
        <item m="1" x="715"/>
        <item m="1" x="972"/>
        <item m="1" x="902"/>
        <item m="1" x="1327"/>
        <item m="1" x="463"/>
        <item m="1" x="1514"/>
        <item m="1" x="877"/>
        <item m="1" x="101"/>
        <item m="1" x="125"/>
        <item m="1" x="219"/>
        <item m="1" x="554"/>
        <item m="1" x="975"/>
        <item m="1" x="871"/>
        <item m="1" x="112"/>
        <item m="1" x="593"/>
        <item m="1" x="1280"/>
        <item m="1" x="1185"/>
        <item m="1" x="1273"/>
        <item m="1" x="1323"/>
        <item m="1" x="957"/>
        <item m="1" x="220"/>
        <item m="1" x="1110"/>
        <item m="1" x="1483"/>
        <item m="1" x="1376"/>
        <item m="1" x="1416"/>
        <item m="1" x="1505"/>
        <item m="1" x="573"/>
        <item m="1" x="669"/>
        <item m="1" x="781"/>
        <item m="1" x="1209"/>
        <item m="1" x="659"/>
        <item m="1" x="813"/>
        <item m="1" x="235"/>
        <item m="1" x="194"/>
        <item m="1" x="1069"/>
        <item m="1" x="929"/>
        <item m="1" x="1063"/>
        <item m="1" x="749"/>
        <item m="1" x="1511"/>
        <item m="1" x="1144"/>
        <item m="1" x="247"/>
        <item m="1" x="417"/>
        <item m="1" x="1156"/>
        <item m="1" x="666"/>
        <item m="1" x="252"/>
        <item m="1" x="530"/>
        <item m="1" x="1482"/>
        <item m="1" x="1370"/>
        <item m="1" x="1206"/>
        <item m="1" x="385"/>
        <item m="1" x="442"/>
        <item m="1" x="221"/>
        <item m="1" x="497"/>
        <item m="1" x="1393"/>
        <item m="1" x="1263"/>
        <item m="1" x="988"/>
        <item m="1" x="969"/>
        <item m="1" x="897"/>
        <item m="1" x="356"/>
        <item m="1" x="130"/>
        <item m="1" x="1412"/>
        <item m="1" x="1092"/>
        <item m="1" x="1305"/>
        <item m="1" x="1050"/>
        <item m="1" x="565"/>
        <item m="1" x="1158"/>
        <item m="1" x="92"/>
        <item m="1" x="569"/>
        <item m="1" x="211"/>
        <item m="1" x="1036"/>
        <item m="1" x="488"/>
        <item m="1" x="105"/>
        <item m="1" x="1365"/>
        <item m="1" x="226"/>
        <item m="1" x="322"/>
        <item m="1" x="29"/>
        <item m="1" x="630"/>
        <item m="1" x="320"/>
        <item m="1" x="1043"/>
        <item m="1" x="283"/>
        <item m="1" x="675"/>
        <item m="1" x="1496"/>
        <item m="1" x="946"/>
        <item m="1" x="551"/>
        <item m="1" x="726"/>
        <item m="1" x="468"/>
        <item m="1" x="628"/>
        <item m="1" x="1463"/>
        <item m="1" x="352"/>
        <item m="1" x="165"/>
        <item m="1" x="172"/>
        <item m="1" x="761"/>
        <item m="1" x="80"/>
        <item m="1" x="910"/>
        <item m="1" x="474"/>
        <item m="1" x="1509"/>
        <item m="1" x="456"/>
        <item m="1" x="1313"/>
        <item m="1" x="1433"/>
        <item m="1" x="243"/>
        <item m="1" x="78"/>
        <item m="1" x="1286"/>
        <item m="1" x="42"/>
        <item m="1" x="263"/>
        <item m="1" x="509"/>
        <item m="1" x="369"/>
        <item m="1" x="913"/>
        <item m="1" x="305"/>
        <item m="1" x="993"/>
        <item m="1" x="74"/>
        <item m="1" x="452"/>
        <item m="1" x="1477"/>
        <item m="1" x="139"/>
        <item m="1" x="1491"/>
        <item m="1" x="1157"/>
        <item m="1" x="1488"/>
        <item m="1" x="71"/>
        <item m="1" x="89"/>
        <item m="1" x="1357"/>
        <item m="1" x="439"/>
        <item m="1" x="831"/>
        <item m="1" x="1048"/>
        <item m="1" x="470"/>
        <item m="1" x="991"/>
        <item m="1" x="559"/>
        <item m="1" x="925"/>
        <item m="1" x="952"/>
        <item m="1" x="387"/>
        <item m="1" x="608"/>
        <item m="1" x="786"/>
        <item m="1" x="938"/>
        <item m="1" x="103"/>
        <item m="1" x="807"/>
        <item m="1" x="346"/>
        <item m="1" x="634"/>
        <item m="1" x="1151"/>
        <item m="1" x="766"/>
        <item m="1" x="483"/>
        <item m="1" x="1474"/>
        <item m="1" x="1515"/>
        <item m="1" x="1458"/>
        <item m="1" x="899"/>
        <item m="1" x="253"/>
        <item m="1" x="838"/>
        <item m="1" x="909"/>
        <item m="1" x="747"/>
        <item m="1" x="334"/>
        <item m="1" x="1170"/>
        <item m="1" x="19"/>
        <item m="1" x="382"/>
        <item m="1" x="1002"/>
        <item m="1" x="1051"/>
        <item m="1" x="138"/>
        <item m="1" x="542"/>
        <item m="1" x="276"/>
        <item m="1" x="54"/>
        <item m="1" x="888"/>
        <item m="1" x="432"/>
        <item m="1" x="72"/>
        <item m="1" x="1238"/>
        <item m="1" x="245"/>
        <item m="1" x="1128"/>
        <item m="1" x="383"/>
        <item m="1" x="771"/>
        <item m="1" x="1285"/>
        <item m="1" x="1014"/>
        <item m="1" x="436"/>
        <item m="1" x="767"/>
        <item m="1" x="759"/>
        <item m="1" x="1485"/>
        <item m="1" x="730"/>
        <item m="1" x="1079"/>
        <item m="1" x="588"/>
        <item m="1" x="1244"/>
        <item m="1" x="303"/>
        <item m="1" x="441"/>
        <item m="1" x="79"/>
        <item m="1" x="926"/>
        <item m="1" x="363"/>
        <item m="1" x="298"/>
        <item m="1" x="321"/>
        <item m="1" x="1325"/>
        <item m="1" x="1437"/>
        <item m="1" x="990"/>
        <item m="1" x="1094"/>
        <item m="1" x="1278"/>
        <item m="1" x="1095"/>
        <item m="1" x="327"/>
        <item m="1" x="600"/>
        <item m="1" x="396"/>
        <item m="1" x="1409"/>
        <item m="1" x="620"/>
        <item m="1" x="1131"/>
        <item m="1" x="1331"/>
        <item m="1" x="635"/>
        <item m="1" x="760"/>
        <item m="1" x="708"/>
        <item m="1" x="450"/>
        <item m="1" x="782"/>
        <item m="1" x="365"/>
        <item m="1" x="1317"/>
        <item m="1" x="200"/>
        <item m="1" x="847"/>
        <item m="1" x="267"/>
        <item m="1" x="1480"/>
        <item m="1" x="734"/>
        <item m="1" x="834"/>
        <item m="1" x="251"/>
        <item m="1" x="1192"/>
        <item m="1" x="1070"/>
        <item m="1" x="330"/>
        <item m="1" x="302"/>
        <item m="1" x="1005"/>
        <item m="1" x="1087"/>
        <item m="1" x="627"/>
        <item m="1" x="882"/>
        <item m="1" x="1254"/>
        <item m="1" x="932"/>
        <item m="1" x="1067"/>
        <item m="1" x="419"/>
        <item m="1" x="45"/>
        <item m="1" x="375"/>
        <item m="1" x="750"/>
        <item m="1" x="412"/>
        <item m="1" x="870"/>
        <item m="1" x="1346"/>
        <item m="1" x="753"/>
        <item m="1" x="737"/>
        <item m="1" x="1429"/>
        <item m="1" x="852"/>
        <item m="1" x="1000"/>
        <item m="1" x="970"/>
        <item m="1" x="676"/>
        <item m="1" x="844"/>
        <item m="1" x="1418"/>
        <item m="1" x="529"/>
        <item m="1" x="805"/>
        <item m="1" x="917"/>
        <item m="1" x="1010"/>
        <item m="1" x="189"/>
        <item m="1" x="39"/>
        <item m="1" x="655"/>
        <item m="1" x="217"/>
        <item m="1" x="332"/>
        <item m="1" x="717"/>
        <item m="1" x="66"/>
        <item m="1" x="187"/>
        <item m="1" x="702"/>
        <item m="1" x="536"/>
        <item m="1" x="526"/>
        <item m="1" x="50"/>
        <item m="1" x="777"/>
        <item m="1" x="136"/>
        <item m="1" x="1102"/>
        <item m="1" x="1415"/>
        <item m="1" x="1461"/>
        <item m="1" x="1167"/>
        <item m="1" x="809"/>
        <item m="1" x="77"/>
        <item m="1" x="1169"/>
        <item m="1" x="856"/>
        <item m="1" x="609"/>
        <item m="1" x="1490"/>
        <item m="1" x="1329"/>
        <item m="1" x="1450"/>
        <item m="1" x="522"/>
        <item m="1" x="1397"/>
        <item m="1" x="1389"/>
        <item m="1" x="1292"/>
        <item m="1" x="345"/>
        <item m="1" x="1287"/>
        <item m="1" x="1046"/>
        <item m="1" x="292"/>
        <item m="1" x="543"/>
        <item m="1" x="351"/>
        <item m="1" x="90"/>
        <item m="1" x="409"/>
        <item m="1" x="1181"/>
        <item m="1" x="962"/>
        <item m="1" x="493"/>
        <item m="1" x="789"/>
        <item m="1" x="541"/>
        <item m="1" x="919"/>
        <item m="1" x="319"/>
        <item m="1" x="731"/>
        <item m="1" x="1270"/>
        <item m="1" x="878"/>
        <item m="1" x="966"/>
        <item m="1" x="290"/>
        <item m="1" x="698"/>
        <item m="1" x="1398"/>
        <item m="1" x="1360"/>
        <item m="1" x="350"/>
        <item m="1" x="1145"/>
        <item m="1" x="1208"/>
        <item m="1" x="1109"/>
        <item m="1" x="223"/>
        <item m="1" x="1288"/>
        <item m="1" x="233"/>
        <item m="1" x="808"/>
        <item m="1" x="242"/>
        <item m="1" x="625"/>
        <item m="1" x="316"/>
        <item m="1" x="349"/>
        <item m="1" x="173"/>
        <item m="1" x="606"/>
        <item m="1" x="1248"/>
        <item m="1" x="572"/>
        <item m="1" x="354"/>
        <item m="1" x="1015"/>
        <item m="1" x="152"/>
        <item m="1" x="122"/>
        <item m="1" x="193"/>
        <item m="1" x="886"/>
        <item m="1" x="644"/>
        <item m="1" x="1489"/>
        <item m="1" x="1245"/>
        <item m="1" x="1456"/>
        <item m="1" x="1193"/>
        <item m="1" x="151"/>
        <item m="1" x="1060"/>
        <item m="1" x="1252"/>
        <item m="1" x="467"/>
        <item m="1" x="119"/>
        <item m="1" x="96"/>
        <item m="1" x="798"/>
        <item m="1" x="641"/>
        <item m="1" x="170"/>
        <item m="1" x="1016"/>
        <item m="1" x="309"/>
        <item m="1" x="1340"/>
        <item m="1" x="652"/>
        <item m="1" x="787"/>
        <item m="1" x="1308"/>
        <item m="1" x="420"/>
        <item m="1" x="398"/>
        <item m="1" x="431"/>
        <item m="1" x="451"/>
        <item m="1" x="849"/>
        <item m="1" x="948"/>
        <item m="1" x="696"/>
        <item m="1" x="433"/>
        <item m="1" x="829"/>
        <item m="1" x="900"/>
        <item m="1" x="1375"/>
        <item m="1" x="830"/>
        <item m="1" x="486"/>
        <item m="1" x="285"/>
        <item m="1" x="815"/>
        <item m="1" x="406"/>
        <item m="1" x="393"/>
        <item m="1" x="931"/>
        <item m="1" x="594"/>
        <item m="1" x="372"/>
        <item m="1" x="602"/>
        <item m="1" x="778"/>
        <item m="1" x="234"/>
        <item m="1" x="1298"/>
        <item m="1" x="1320"/>
        <item m="1" x="1178"/>
        <item m="1" x="485"/>
        <item m="1" x="1152"/>
        <item m="1" x="1471"/>
        <item m="1" x="662"/>
        <item m="1" x="1369"/>
        <item m="1" x="34"/>
        <item m="1" x="1142"/>
        <item m="1" x="1261"/>
        <item m="1" x="188"/>
        <item m="1" x="967"/>
        <item m="1" x="64"/>
        <item m="1" x="1404"/>
        <item m="1" x="258"/>
        <item m="1" x="898"/>
        <item m="1" x="940"/>
        <item m="1" x="1211"/>
        <item m="1" x="312"/>
        <item m="1" x="638"/>
        <item m="1" x="1187"/>
        <item m="1" x="521"/>
        <item m="1" x="998"/>
        <item m="1" x="510"/>
        <item m="1" x="689"/>
        <item m="1" x="797"/>
        <item m="1" x="826"/>
        <item m="1" x="192"/>
        <item m="1" x="99"/>
        <item m="1" x="694"/>
        <item m="1" x="1039"/>
        <item m="1" x="1268"/>
        <item m="1" x="1436"/>
        <item m="1" x="168"/>
        <item m="1" x="712"/>
        <item m="1" x="863"/>
        <item m="1" x="523"/>
        <item m="1" x="1256"/>
        <item m="1" x="1009"/>
        <item m="1" x="1364"/>
        <item m="1" x="1345"/>
        <item m="1" x="714"/>
        <item m="1" x="596"/>
        <item m="1" x="751"/>
        <item m="1" x="280"/>
        <item m="1" x="862"/>
        <item m="1" x="421"/>
        <item m="1" x="671"/>
        <item m="1" x="182"/>
        <item m="1" x="336"/>
        <item m="1" x="1454"/>
        <item m="1" x="557"/>
        <item m="1" x="157"/>
        <item m="1" x="164"/>
        <item m="1" x="1432"/>
        <item m="1" x="1486"/>
        <item m="1" x="166"/>
        <item m="1" x="1143"/>
        <item m="1" x="76"/>
        <item m="1" x="796"/>
        <item m="1" x="162"/>
        <item m="1" x="881"/>
        <item m="1" x="120"/>
        <item m="1" x="560"/>
        <item m="1" x="1289"/>
        <item m="1" x="1302"/>
        <item m="1" x="604"/>
        <item m="1" x="1452"/>
        <item m="1" x="598"/>
        <item m="1" x="1247"/>
        <item m="1" x="293"/>
        <item m="1" x="1293"/>
        <item m="1" x="1223"/>
        <item m="1" x="1300"/>
        <item m="1" x="517"/>
        <item m="1" x="934"/>
        <item m="1" x="1310"/>
        <item m="1" x="55"/>
        <item m="1" x="763"/>
        <item m="1" x="186"/>
        <item m="1" x="1108"/>
        <item m="1" x="774"/>
        <item m="1" x="1200"/>
        <item m="1" x="823"/>
        <item m="1" x="1134"/>
        <item m="1" x="531"/>
        <item m="1" x="1107"/>
        <item m="1" x="1356"/>
        <item m="1" x="539"/>
        <item m="1" x="779"/>
        <item m="1" x="1219"/>
        <item m="1" x="287"/>
        <item m="1" x="636"/>
        <item m="1" x="478"/>
        <item m="1" x="544"/>
        <item m="1" x="286"/>
        <item m="1" x="624"/>
        <item m="1" x="1336"/>
        <item m="1" x="401"/>
        <item m="1" x="548"/>
        <item m="1" x="1120"/>
        <item m="1" x="150"/>
        <item m="1" x="1199"/>
        <item m="1" x="873"/>
        <item m="1" x="324"/>
        <item m="1" x="60"/>
        <item m="1" x="123"/>
        <item m="1" x="1086"/>
        <item m="1" x="1100"/>
        <item m="1" x="133"/>
        <item m="1" x="124"/>
        <item m="1" x="756"/>
        <item m="1" x="908"/>
        <item m="1" x="296"/>
        <item m="1" x="294"/>
        <item m="1" x="160"/>
        <item m="1" x="1306"/>
        <item m="1" x="128"/>
        <item m="1" x="1314"/>
        <item m="1" x="563"/>
        <item m="1" x="1457"/>
        <item m="1" x="1451"/>
        <item m="1" x="821"/>
        <item m="1" x="491"/>
        <item m="1" x="261"/>
        <item m="1" x="801"/>
        <item m="1" x="803"/>
        <item m="1" x="1295"/>
        <item m="1" x="44"/>
        <item m="1" x="1354"/>
        <item m="1" x="1352"/>
        <item m="1" x="1384"/>
        <item m="1" x="825"/>
        <item m="1" x="1448"/>
        <item m="1" x="693"/>
        <item m="1" x="495"/>
        <item m="1" x="1379"/>
        <item m="1" x="240"/>
        <item m="1" x="97"/>
        <item m="1" x="1413"/>
        <item m="1" x="1328"/>
        <item m="1" x="68"/>
        <item m="1" x="691"/>
        <item m="1" x="891"/>
        <item m="1" x="347"/>
        <item m="1" x="1386"/>
        <item m="1" x="206"/>
        <item m="1" x="377"/>
        <item m="1" x="137"/>
        <item m="1" x="1083"/>
        <item m="1" x="28"/>
        <item m="1" x="333"/>
        <item m="1" x="547"/>
        <item m="1" x="1501"/>
        <item m="1" x="1013"/>
        <item m="1" x="26"/>
        <item m="1" x="511"/>
        <item m="1" x="148"/>
        <item m="1" x="1250"/>
        <item m="1" x="210"/>
        <item m="1" x="736"/>
        <item m="1" x="1338"/>
        <item m="1" x="607"/>
        <item m="1" x="1469"/>
        <item m="1" x="268"/>
        <item m="1" x="868"/>
        <item m="1" x="660"/>
        <item m="1" x="410"/>
        <item m="1" x="764"/>
        <item m="1" x="207"/>
        <item m="1" x="595"/>
        <item m="1" x="1446"/>
        <item m="1" x="508"/>
        <item m="1" x="1447"/>
        <item m="1" x="605"/>
        <item m="1" x="680"/>
        <item m="1" x="519"/>
        <item m="1" x="1042"/>
        <item m="1" x="1176"/>
        <item m="1" x="711"/>
        <item m="1" x="1077"/>
        <item m="1" x="770"/>
        <item m="1" x="1374"/>
        <item m="1" x="1194"/>
        <item m="1" x="1140"/>
        <item m="1" x="434"/>
        <item m="1" x="1123"/>
        <item m="1" x="713"/>
        <item m="1" x="82"/>
        <item m="1" x="462"/>
        <item m="1" x="61"/>
        <item m="1" x="827"/>
        <item m="1" x="344"/>
        <item m="1" x="394"/>
        <item m="1" x="272"/>
        <item m="1" x="1122"/>
        <item m="1" x="1449"/>
        <item m="1" x="1072"/>
        <item m="1" x="690"/>
        <item m="1" x="1499"/>
        <item m="1" x="937"/>
        <item m="1" x="687"/>
        <item m="1" x="1207"/>
        <item m="1" x="537"/>
        <item m="1" x="1085"/>
        <item m="1" x="525"/>
        <item m="1" x="865"/>
        <item m="1" x="295"/>
        <item m="1" x="108"/>
        <item m="1" x="979"/>
        <item m="1" x="947"/>
        <item m="1" x="568"/>
        <item m="1" x="703"/>
        <item m="1" x="1403"/>
        <item m="1" x="941"/>
        <item m="1" x="1258"/>
        <item m="1" x="861"/>
        <item m="1" x="923"/>
        <item m="1" x="94"/>
        <item m="1" x="647"/>
        <item m="1" x="289"/>
        <item m="1" x="254"/>
        <item m="1" x="155"/>
        <item m="1" x="716"/>
        <item m="1" x="1299"/>
        <item m="1" x="454"/>
        <item m="1" x="665"/>
        <item m="1" x="663"/>
        <item m="1" x="308"/>
        <item m="1" x="1044"/>
        <item m="1" x="1277"/>
        <item m="1" x="955"/>
        <item m="1" x="1407"/>
        <item m="1" x="832"/>
        <item m="1" x="277"/>
        <item m="1" x="939"/>
        <item m="1" x="1281"/>
        <item m="1" x="479"/>
        <item m="1" x="654"/>
        <item m="1" x="895"/>
        <item m="1" x="147"/>
        <item m="1" x="27"/>
        <item m="1" x="618"/>
        <item m="1" x="876"/>
        <item m="1" x="158"/>
        <item m="1" x="733"/>
        <item m="1" x="512"/>
        <item m="1" x="800"/>
        <item m="1" x="282"/>
        <item m="1" x="480"/>
        <item m="1" x="1225"/>
        <item m="1" x="1476"/>
        <item m="1" x="266"/>
        <item m="1" x="561"/>
        <item m="1" x="22"/>
        <item m="1" x="505"/>
        <item m="1" x="960"/>
        <item m="1" x="1495"/>
        <item m="1" x="1154"/>
        <item m="1" x="944"/>
        <item m="1" x="204"/>
        <item m="1" x="106"/>
        <item m="1" x="773"/>
        <item m="1" x="87"/>
        <item m="1" x="386"/>
        <item m="1" x="310"/>
        <item m="1" x="802"/>
        <item m="1" x="564"/>
        <item m="1" x="980"/>
        <item m="1" x="514"/>
        <item m="1" x="879"/>
        <item m="1" x="205"/>
        <item m="1" x="1232"/>
        <item m="1" x="677"/>
        <item m="1" x="1500"/>
        <item m="1" x="453"/>
        <item m="1" x="118"/>
        <item m="1" x="1105"/>
        <item m="1" x="738"/>
        <item m="1" x="126"/>
        <item m="1" x="860"/>
        <item m="1" x="1190"/>
        <item m="1" x="1001"/>
        <item m="1" x="1322"/>
        <item m="1" x="884"/>
        <item m="1" x="33"/>
        <item m="1" x="1262"/>
        <item m="1" x="445"/>
        <item m="1" x="653"/>
        <item m="1" x="391"/>
        <item m="1" x="154"/>
        <item m="1" x="818"/>
        <item m="1" x="949"/>
        <item m="1" x="153"/>
        <item m="1" x="735"/>
        <item m="1" x="500"/>
        <item m="1" x="1075"/>
        <item m="1" x="981"/>
        <item m="1" x="490"/>
        <item m="1" x="342"/>
        <item m="1" x="974"/>
        <item m="1" x="423"/>
        <item m="1" x="314"/>
        <item m="1" x="1347"/>
        <item m="1" x="1312"/>
        <item m="1" x="1332"/>
        <item m="1" x="914"/>
        <item m="1" x="614"/>
        <item m="1" x="1163"/>
        <item m="1" x="114"/>
        <item m="1" x="129"/>
        <item m="1" x="1130"/>
        <item m="1" x="837"/>
        <item m="1" x="883"/>
        <item m="1" x="41"/>
        <item m="1" x="117"/>
        <item m="1" x="225"/>
        <item m="1" x="851"/>
        <item m="1" x="670"/>
        <item m="1" x="571"/>
        <item m="1" x="317"/>
        <item m="1" x="353"/>
        <item m="1" x="257"/>
        <item m="1" x="1362"/>
        <item m="1" x="918"/>
        <item m="1" x="853"/>
        <item m="1" x="804"/>
        <item m="1" x="896"/>
        <item m="1" x="259"/>
        <item m="1" x="582"/>
        <item m="1" x="1101"/>
        <item m="1" x="1097"/>
        <item m="1" x="1090"/>
        <item m="1" x="104"/>
        <item m="1" x="313"/>
        <item m="1" x="1282"/>
        <item m="1" x="212"/>
        <item m="1" x="1084"/>
        <item m="1" x="1116"/>
        <item m="1" x="538"/>
        <item m="1" x="1401"/>
        <item m="1" x="232"/>
        <item m="1" x="820"/>
        <item m="1" x="464"/>
        <item m="1" x="1359"/>
        <item m="1" x="231"/>
        <item m="1" x="1307"/>
        <item m="1" x="366"/>
        <item m="1" x="1133"/>
        <item m="1" x="262"/>
        <item m="1" x="996"/>
        <item m="1" x="688"/>
        <item m="1" x="427"/>
        <item m="1" x="496"/>
        <item m="1" x="580"/>
        <item m="1" x="444"/>
        <item m="1" x="629"/>
        <item m="1" x="1191"/>
        <item m="1" x="23"/>
        <item m="1" x="56"/>
        <item m="1" x="459"/>
        <item m="1" x="1392"/>
        <item m="1" x="527"/>
        <item m="1" x="1184"/>
        <item m="1" x="228"/>
        <item m="1" x="1234"/>
        <item m="1" x="515"/>
        <item m="1" x="435"/>
        <item m="1" x="24"/>
        <item m="1" x="291"/>
        <item m="1" x="142"/>
        <item m="1" x="912"/>
        <item m="1" x="835"/>
        <item m="1" x="1291"/>
        <item m="1" x="1506"/>
        <item m="1" x="965"/>
        <item m="1" x="817"/>
        <item m="1" x="494"/>
        <item m="1" x="440"/>
        <item m="1" x="942"/>
        <item m="1" x="1372"/>
        <item m="1" x="1503"/>
        <item m="1" x="1198"/>
        <item m="1" x="765"/>
        <item m="1" x="1468"/>
        <item m="1" x="1342"/>
        <item m="1" x="179"/>
        <item m="1" x="132"/>
        <item m="1" x="404"/>
        <item m="1" x="178"/>
        <item m="1" x="1513"/>
        <item m="1" x="1057"/>
        <item m="1" x="1183"/>
        <item m="1" x="540"/>
        <item m="1" x="1062"/>
        <item m="1" x="256"/>
        <item m="1" x="1266"/>
        <item m="1" x="889"/>
        <item m="1" x="892"/>
        <item m="1" x="149"/>
        <item m="1" x="1516"/>
        <item m="1" x="741"/>
        <item m="1" x="936"/>
        <item m="1" x="389"/>
        <item m="1" x="37"/>
        <item m="1" x="757"/>
        <item m="1" x="1326"/>
        <item m="1" x="768"/>
        <item m="1" x="612"/>
        <item m="1" x="1518"/>
        <item m="1" x="1484"/>
        <item m="1" x="1434"/>
        <item m="1" x="1041"/>
        <item m="1" x="482"/>
        <item m="1" x="976"/>
        <item m="1" x="265"/>
        <item m="1" x="1279"/>
        <item m="1" x="1371"/>
        <item m="1" x="70"/>
        <item m="1" x="1026"/>
        <item m="1" x="1431"/>
        <item m="1" x="1257"/>
        <item m="1" x="633"/>
        <item m="1" x="1475"/>
        <item m="1" x="718"/>
        <item m="1" x="1226"/>
        <item m="1" x="134"/>
        <item m="1" x="1237"/>
        <item m="1" x="402"/>
        <item m="1" x="315"/>
        <item m="1" x="1492"/>
        <item m="1" x="1216"/>
        <item m="1" x="1081"/>
        <item m="1" x="370"/>
        <item m="1" x="959"/>
        <item m="1" x="1186"/>
        <item m="1" x="1124"/>
        <item m="1" x="1439"/>
        <item m="1" x="1031"/>
        <item m="1" x="678"/>
        <item m="1" x="869"/>
        <item m="1" x="91"/>
        <item m="1" x="367"/>
        <item m="1" x="418"/>
        <item m="1" x="748"/>
        <item m="1" x="426"/>
        <item m="1" x="127"/>
        <item m="1" x="1118"/>
        <item m="1" x="1487"/>
        <item m="1" x="727"/>
        <item m="1" x="1020"/>
        <item m="1" x="35"/>
        <item m="1" x="460"/>
        <item m="1" x="111"/>
        <item m="1" x="648"/>
        <item m="1" x="1168"/>
        <item m="1" x="399"/>
        <item m="1" x="429"/>
        <item m="1" x="1119"/>
        <item m="1" x="1049"/>
        <item m="1" x="1125"/>
        <item m="1" x="311"/>
        <item m="1" x="887"/>
        <item m="1" x="1023"/>
        <item m="1" x="422"/>
        <item m="1" x="1388"/>
        <item m="1" x="1064"/>
        <item m="1" x="795"/>
        <item m="1" x="794"/>
        <item m="1" x="799"/>
        <item m="1" x="371"/>
        <item m="1" x="1426"/>
        <item m="1" x="585"/>
        <item m="1" x="1274"/>
        <item m="1" x="49"/>
        <item m="1" x="300"/>
        <item m="1" x="1355"/>
        <item m="1" x="341"/>
        <item m="1" x="1096"/>
        <item m="1" x="1179"/>
        <item m="1" x="1172"/>
        <item m="1" x="248"/>
        <item m="1" x="1406"/>
        <item m="1" x="558"/>
        <item m="1" x="1073"/>
        <item m="1" x="776"/>
        <item m="1" x="1420"/>
        <item m="1" x="428"/>
        <item m="1" x="631"/>
        <item m="1" x="709"/>
        <item m="1" x="1231"/>
        <item m="1" x="626"/>
        <item m="1" x="1165"/>
        <item m="1" x="1099"/>
        <item m="1" x="906"/>
        <item m="1" x="279"/>
        <item m="1" x="935"/>
        <item m="1" x="1260"/>
        <item m="1" x="867"/>
        <item m="1" x="63"/>
        <item m="1" x="288"/>
        <item m="1" x="335"/>
        <item m="1" x="403"/>
        <item m="1" x="783"/>
        <item m="1" x="743"/>
        <item m="1" x="75"/>
        <item m="1" x="388"/>
        <item m="1" x="1137"/>
        <item m="1" x="1155"/>
        <item m="1" x="645"/>
        <item m="1" x="174"/>
        <item m="1" x="1243"/>
        <item m="1" x="135"/>
        <item m="1" x="190"/>
        <item m="1" x="793"/>
        <item m="1" x="1324"/>
        <item m="1" x="845"/>
        <item m="1" x="1366"/>
        <item m="1" x="1309"/>
        <item m="1" x="1214"/>
        <item m="1" x="810"/>
        <item m="1" x="692"/>
        <item m="1" x="32"/>
        <item m="1" x="611"/>
        <item m="1" x="971"/>
        <item m="1" x="236"/>
        <item m="1" x="706"/>
        <item m="1" x="264"/>
        <item m="1" x="430"/>
        <item m="1" x="1240"/>
        <item m="1" x="1498"/>
        <item m="1" x="1164"/>
        <item m="1" x="395"/>
        <item m="1" x="1104"/>
        <item m="1" x="84"/>
        <item m="1" x="924"/>
        <item m="1" x="507"/>
        <item m="1" x="616"/>
        <item m="1" x="657"/>
        <item m="1" x="1296"/>
        <item m="1" x="73"/>
        <item m="1" x="1212"/>
        <item m="1" x="592"/>
        <item m="1" x="348"/>
        <item m="1" x="994"/>
        <item m="1" x="740"/>
        <item m="1" x="62"/>
        <item m="1" x="857"/>
        <item m="1" x="785"/>
        <item m="1" x="903"/>
        <item m="1" x="471"/>
        <item m="1" x="920"/>
        <item m="1" x="1411"/>
        <item m="1" x="1430"/>
        <item m="1" x="362"/>
        <item m="1" x="812"/>
        <item m="1" x="1021"/>
        <item m="1" x="1408"/>
        <item m="1" x="1037"/>
        <item m="1" x="1008"/>
        <item m="1" x="1363"/>
        <item m="1" x="954"/>
        <item m="1" x="1316"/>
        <item m="1" x="143"/>
        <item m="1" x="576"/>
        <item m="1" x="161"/>
        <item m="1" x="1071"/>
        <item m="1" x="1150"/>
        <item m="1" x="506"/>
        <item m="1" x="180"/>
        <item m="1" x="534"/>
        <item m="1" x="1510"/>
        <item m="1" x="1459"/>
        <item m="1" x="916"/>
        <item m="1" x="1283"/>
        <item m="1" x="484"/>
        <item m="1" x="343"/>
        <item m="1" x="848"/>
        <item m="1" x="156"/>
        <item m="1" x="48"/>
        <item m="1" x="722"/>
        <item m="1" x="1074"/>
        <item m="1" x="281"/>
        <item m="1" x="446"/>
        <item m="1" x="1171"/>
        <item m="1" x="400"/>
        <item m="1" x="933"/>
        <item m="1" x="306"/>
        <item m="1" x="260"/>
        <item m="1" x="88"/>
        <item m="1" x="858"/>
        <item m="1" x="915"/>
        <item m="1" x="1504"/>
        <item m="1" x="1272"/>
        <item m="1" x="437"/>
        <item m="1" x="1402"/>
        <item m="1" x="1078"/>
        <item m="1" x="961"/>
        <item m="1" x="241"/>
        <item m="1" x="1093"/>
        <item m="1" x="1061"/>
        <item m="1" x="1318"/>
        <item m="1" x="964"/>
        <item m="1" x="59"/>
        <item m="1" x="943"/>
        <item m="1" x="532"/>
        <item m="1" x="1203"/>
        <item m="1" x="1160"/>
        <item m="1" x="841"/>
        <item m="1" x="513"/>
        <item m="1" x="141"/>
        <item m="1" x="1497"/>
        <item m="1" x="407"/>
        <item m="1" x="213"/>
        <item m="1" x="461"/>
        <item m="1" x="1239"/>
        <item m="1" x="973"/>
        <item m="1" x="1055"/>
        <item m="1" x="695"/>
        <item m="1" x="661"/>
        <item m="1" x="533"/>
        <item m="1" x="555"/>
        <item m="1" x="1066"/>
        <item m="1" x="520"/>
        <item m="1" x="1361"/>
        <item m="1" x="1472"/>
        <item m="1" x="100"/>
        <item m="1" x="1502"/>
        <item m="1" x="38"/>
        <item m="1" x="1065"/>
        <item m="1" x="1382"/>
        <item m="1" x="1117"/>
        <item m="1" x="1196"/>
        <item m="1" x="184"/>
        <item m="1" x="890"/>
        <item m="1" x="705"/>
        <item m="1" x="1228"/>
        <item m="1" x="337"/>
        <item m="1" x="632"/>
        <item m="1" x="1519"/>
        <item m="1" x="109"/>
        <item m="1" x="664"/>
        <item m="1" x="1004"/>
        <item m="1" x="1396"/>
        <item m="1" x="728"/>
        <item m="1" x="578"/>
        <item m="1" x="1218"/>
        <item m="1" x="668"/>
        <item m="1" x="465"/>
        <item m="1" x="307"/>
        <item m="1" x="52"/>
        <item m="1" x="215"/>
        <item m="1" x="1255"/>
        <item m="1" x="238"/>
        <item m="1" x="51"/>
        <item m="1" x="83"/>
        <item m="1" x="1018"/>
        <item m="1" x="390"/>
        <item m="1" x="1267"/>
        <item m="1" x="762"/>
        <item m="1" x="1082"/>
        <item m="1" x="199"/>
        <item m="1" x="255"/>
        <item m="1" x="1080"/>
        <item m="1" x="69"/>
        <item m="1" x="208"/>
        <item m="1" x="25"/>
        <item m="1" x="615"/>
        <item m="1" x="1275"/>
        <item m="1" x="1146"/>
        <item m="1" x="1455"/>
        <item m="1" x="672"/>
        <item m="1" x="98"/>
        <item m="1" x="299"/>
        <item m="1" x="577"/>
        <item m="1" x="681"/>
        <item m="1" x="566"/>
        <item m="1" x="1481"/>
        <item m="1" x="1236"/>
        <item m="1" x="772"/>
        <item m="1" x="1350"/>
        <item m="1" x="1391"/>
        <item m="1" x="1028"/>
        <item m="1" x="1353"/>
        <item m="1" x="1201"/>
        <item m="1" x="791"/>
        <item m="1" x="469"/>
        <item m="1" x="742"/>
        <item m="1" x="679"/>
        <item m="1" x="270"/>
        <item m="1" x="425"/>
        <item m="1" x="1373"/>
        <item m="1" x="1177"/>
        <item m="1" x="997"/>
        <item m="1" x="411"/>
        <item m="1" x="1319"/>
        <item m="1" x="880"/>
        <item m="1" x="992"/>
        <item m="1" x="1182"/>
        <item m="1" x="701"/>
        <item m="1" x="1387"/>
        <item m="1" x="1358"/>
        <item m="1" x="556"/>
        <item m="1" x="1053"/>
        <item m="1" x="169"/>
        <item m="1" x="874"/>
        <item m="1" x="613"/>
        <item m="1" x="163"/>
        <item m="1" x="524"/>
        <item m="1" x="567"/>
        <item m="1" x="893"/>
        <item m="1" x="1197"/>
        <item m="1" x="1217"/>
        <item m="1" x="203"/>
        <item m="1" x="1054"/>
        <item m="1" x="424"/>
        <item m="1" x="814"/>
        <item m="1" x="816"/>
        <item m="1" x="658"/>
        <item m="1" x="487"/>
        <item m="1" x="415"/>
        <item m="1" x="57"/>
        <item m="1" x="414"/>
        <item m="1" x="447"/>
        <item m="1" x="651"/>
        <item m="1" x="392"/>
        <item m="1" x="1229"/>
        <item m="1" x="227"/>
        <item m="1" x="570"/>
        <item m="1" x="81"/>
        <item m="1" x="466"/>
        <item m="1" x="43"/>
        <item m="1" x="516"/>
        <item m="1" x="405"/>
        <item m="1" x="1440"/>
        <item m="1" x="901"/>
        <item m="1" x="911"/>
        <item m="1" x="271"/>
        <item m="1" x="326"/>
        <item m="1" x="744"/>
        <item m="1" x="599"/>
        <item m="1" x="686"/>
        <item m="1" x="1395"/>
        <item m="1" x="384"/>
        <item m="1" x="36"/>
        <item m="1" x="177"/>
        <item m="1" x="723"/>
        <item m="1" x="1025"/>
        <item m="1" x="355"/>
        <item m="1" x="1334"/>
        <item m="1" x="1508"/>
        <item m="1" x="95"/>
        <item m="1" x="381"/>
        <item m="1" x="739"/>
        <item m="1" x="361"/>
        <item m="1" x="278"/>
        <item m="1" x="443"/>
        <item m="1" x="376"/>
        <item m="1" x="1089"/>
        <item m="1" x="1464"/>
        <item m="1" x="115"/>
        <item m="1" x="1507"/>
        <item m="1" x="1301"/>
        <item m="1" x="674"/>
        <item m="1" x="1414"/>
        <item m="1" x="553"/>
        <item m="1" x="1138"/>
        <item m="1" x="191"/>
        <item m="1" x="656"/>
        <item m="1" x="197"/>
        <item m="1" x="140"/>
        <item m="1" x="181"/>
        <item m="1" x="1443"/>
        <item m="1" x="1390"/>
        <item m="1" x="167"/>
        <item m="1" x="492"/>
        <item m="1" x="489"/>
        <item m="1" x="110"/>
        <item m="1" x="646"/>
        <item m="1" x="1027"/>
        <item m="1" x="1076"/>
        <item m="1" x="982"/>
        <item m="1" x="864"/>
        <item m="1" x="338"/>
        <item m="1" x="249"/>
        <item m="1" x="503"/>
        <item m="1" x="1040"/>
        <item m="1" x="951"/>
        <item m="1" x="1115"/>
        <item m="1" x="1032"/>
        <item m="1" x="1330"/>
        <item m="1" x="983"/>
        <item m="1" x="587"/>
        <item m="1" x="1215"/>
        <item m="1" x="379"/>
        <item m="1" x="1205"/>
        <item x="18"/>
        <item x="0"/>
        <item x="1"/>
        <item x="2"/>
        <item x="3"/>
        <item x="4"/>
        <item x="5"/>
        <item x="6"/>
        <item x="7"/>
        <item x="8"/>
        <item x="9"/>
        <item x="10"/>
        <item x="11"/>
        <item x="12"/>
        <item x="13"/>
        <item x="14"/>
        <item x="15"/>
        <item x="16"/>
        <item x="17"/>
        <item t="default"/>
      </items>
    </pivotField>
    <pivotField showAll="0"/>
    <pivotField showAll="0"/>
    <pivotField showAll="0"/>
    <pivotField dataField="1" showAll="0"/>
    <pivotField showAll="0"/>
    <pivotField dataField="1" showAll="0"/>
    <pivotField showAll="0"/>
  </pivotFields>
  <rowFields count="1">
    <field x="0"/>
  </rowFields>
  <rowItems count="20">
    <i>
      <x v="1502"/>
    </i>
    <i>
      <x v="1503"/>
    </i>
    <i>
      <x v="1504"/>
    </i>
    <i>
      <x v="1505"/>
    </i>
    <i>
      <x v="1506"/>
    </i>
    <i>
      <x v="1507"/>
    </i>
    <i>
      <x v="1508"/>
    </i>
    <i>
      <x v="1509"/>
    </i>
    <i>
      <x v="1510"/>
    </i>
    <i>
      <x v="1511"/>
    </i>
    <i>
      <x v="1512"/>
    </i>
    <i>
      <x v="1513"/>
    </i>
    <i>
      <x v="1514"/>
    </i>
    <i>
      <x v="1515"/>
    </i>
    <i>
      <x v="1516"/>
    </i>
    <i>
      <x v="1517"/>
    </i>
    <i>
      <x v="1518"/>
    </i>
    <i>
      <x v="1519"/>
    </i>
    <i>
      <x v="1520"/>
    </i>
    <i t="grand">
      <x/>
    </i>
  </rowItems>
  <colFields count="1">
    <field x="-2"/>
  </colFields>
  <colItems count="2">
    <i>
      <x/>
    </i>
    <i i="1">
      <x v="1"/>
    </i>
  </colItems>
  <dataFields count="2">
    <dataField name="Sum of Main Pretax" fld="4" baseField="0" baseItem="0"/>
    <dataField name="Sum of 457 Pretax" fld="6" baseField="0" baseItem="0"/>
  </dataFields>
  <formats count="6">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CF2E-EBE7-4332-ABE7-04662DAF16B5}">
  <dimension ref="A1:K68"/>
  <sheetViews>
    <sheetView tabSelected="1" workbookViewId="0">
      <selection sqref="A1:K1"/>
    </sheetView>
  </sheetViews>
  <sheetFormatPr defaultColWidth="8.7109375" defaultRowHeight="15" x14ac:dyDescent="0.25"/>
  <cols>
    <col min="1" max="1" width="6.5703125" style="9" customWidth="1"/>
    <col min="2" max="2" width="31.5703125" style="9" customWidth="1"/>
    <col min="3" max="3" width="1.42578125" style="9" customWidth="1"/>
    <col min="4" max="4" width="6.5703125" style="6" customWidth="1"/>
    <col min="5" max="5" width="31.5703125" style="6" customWidth="1"/>
    <col min="6" max="6" width="1.42578125" style="6" customWidth="1"/>
    <col min="7" max="7" width="6.5703125" style="6" customWidth="1"/>
    <col min="8" max="8" width="31.5703125" style="6" customWidth="1"/>
    <col min="9" max="9" width="1.42578125" style="6" customWidth="1"/>
    <col min="10" max="10" width="6.5703125" style="6" customWidth="1"/>
    <col min="11" max="11" width="31.5703125" style="6" customWidth="1"/>
    <col min="12" max="16384" width="8.7109375" style="6"/>
  </cols>
  <sheetData>
    <row r="1" spans="1:11" ht="28.5" x14ac:dyDescent="0.45">
      <c r="A1" s="34" t="s">
        <v>150</v>
      </c>
      <c r="B1" s="34"/>
      <c r="C1" s="34"/>
      <c r="D1" s="34"/>
      <c r="E1" s="34"/>
      <c r="F1" s="34"/>
      <c r="G1" s="34"/>
      <c r="H1" s="34"/>
      <c r="I1" s="34"/>
      <c r="J1" s="34"/>
      <c r="K1" s="34"/>
    </row>
    <row r="3" spans="1:11" ht="217.5" customHeight="1" x14ac:dyDescent="0.25">
      <c r="A3" s="35" t="s">
        <v>164</v>
      </c>
      <c r="B3" s="36"/>
      <c r="C3" s="36"/>
      <c r="D3" s="36"/>
      <c r="E3" s="36"/>
      <c r="F3" s="36"/>
      <c r="G3" s="36"/>
      <c r="H3" s="36"/>
      <c r="I3" s="36"/>
      <c r="J3" s="36"/>
      <c r="K3" s="36"/>
    </row>
    <row r="4" spans="1:11" x14ac:dyDescent="0.25">
      <c r="A4" s="41" t="s">
        <v>163</v>
      </c>
      <c r="B4" s="42"/>
      <c r="C4" s="42"/>
      <c r="D4" s="42"/>
      <c r="E4" s="42"/>
      <c r="F4" s="42"/>
      <c r="G4" s="42"/>
      <c r="H4" s="42"/>
      <c r="I4" s="42"/>
      <c r="J4" s="42"/>
      <c r="K4" s="42"/>
    </row>
    <row r="6" spans="1:11" ht="28.5" x14ac:dyDescent="0.45">
      <c r="A6" s="34" t="s">
        <v>151</v>
      </c>
      <c r="B6" s="34"/>
      <c r="C6" s="34"/>
      <c r="D6" s="34"/>
      <c r="E6" s="34"/>
      <c r="F6" s="34"/>
      <c r="G6" s="34"/>
      <c r="H6" s="34"/>
      <c r="I6" s="34"/>
      <c r="J6" s="34"/>
      <c r="K6" s="34"/>
    </row>
    <row r="8" spans="1:11" x14ac:dyDescent="0.25">
      <c r="A8" s="40">
        <v>24500</v>
      </c>
      <c r="B8" s="40"/>
      <c r="D8" s="33" t="s">
        <v>31</v>
      </c>
      <c r="E8" s="11"/>
    </row>
    <row r="9" spans="1:11" x14ac:dyDescent="0.25">
      <c r="A9" s="40">
        <v>150000</v>
      </c>
      <c r="B9" s="40"/>
      <c r="D9" s="10" t="s">
        <v>32</v>
      </c>
      <c r="E9" s="11"/>
    </row>
    <row r="10" spans="1:11" x14ac:dyDescent="0.25">
      <c r="A10" s="38">
        <v>50</v>
      </c>
      <c r="B10" s="38"/>
      <c r="D10" s="10" t="s">
        <v>152</v>
      </c>
      <c r="E10" s="11"/>
    </row>
    <row r="11" spans="1:11" x14ac:dyDescent="0.25">
      <c r="B11" s="6"/>
      <c r="E11" s="9"/>
    </row>
    <row r="12" spans="1:11" ht="28.5" x14ac:dyDescent="0.45">
      <c r="A12" s="39" t="s">
        <v>0</v>
      </c>
      <c r="B12" s="39"/>
      <c r="C12" s="39"/>
      <c r="D12" s="39"/>
      <c r="E12" s="39"/>
      <c r="F12" s="39"/>
      <c r="G12" s="39"/>
      <c r="H12" s="39"/>
      <c r="I12" s="39"/>
      <c r="J12" s="39"/>
      <c r="K12" s="39"/>
    </row>
    <row r="13" spans="1:11" ht="14.45" customHeight="1" x14ac:dyDescent="0.45">
      <c r="A13" s="12"/>
      <c r="B13" s="12"/>
      <c r="C13" s="12"/>
      <c r="D13" s="12"/>
      <c r="E13" s="12"/>
      <c r="F13" s="12"/>
      <c r="G13" s="12"/>
      <c r="H13" s="12"/>
      <c r="I13" s="12"/>
      <c r="J13" s="12"/>
      <c r="K13" s="12"/>
    </row>
    <row r="14" spans="1:11" x14ac:dyDescent="0.25">
      <c r="A14" s="37" t="s">
        <v>4</v>
      </c>
      <c r="B14" s="37"/>
      <c r="C14" s="13"/>
      <c r="D14" s="37" t="s">
        <v>3</v>
      </c>
      <c r="E14" s="37"/>
      <c r="F14" s="13"/>
      <c r="G14" s="37" t="s">
        <v>155</v>
      </c>
      <c r="H14" s="37"/>
      <c r="I14" s="13"/>
      <c r="J14" s="37" t="s">
        <v>38</v>
      </c>
      <c r="K14" s="37"/>
    </row>
    <row r="15" spans="1:11" x14ac:dyDescent="0.25">
      <c r="A15" s="19" t="s">
        <v>1</v>
      </c>
      <c r="B15" s="19" t="s">
        <v>2</v>
      </c>
      <c r="C15" s="14"/>
      <c r="D15" s="19" t="s">
        <v>1</v>
      </c>
      <c r="E15" s="19" t="s">
        <v>2</v>
      </c>
      <c r="F15" s="14"/>
      <c r="G15" s="19" t="s">
        <v>1</v>
      </c>
      <c r="H15" s="19" t="s">
        <v>2</v>
      </c>
      <c r="I15" s="14"/>
      <c r="J15" s="19" t="s">
        <v>1</v>
      </c>
      <c r="K15" s="19" t="s">
        <v>2</v>
      </c>
    </row>
    <row r="16" spans="1:11" x14ac:dyDescent="0.25">
      <c r="A16" s="15">
        <v>651</v>
      </c>
      <c r="B16" s="15" t="s">
        <v>156</v>
      </c>
      <c r="C16" s="16"/>
      <c r="D16" s="17">
        <v>565</v>
      </c>
      <c r="E16" s="17" t="s">
        <v>13</v>
      </c>
      <c r="F16" s="18"/>
      <c r="G16" s="17">
        <v>652</v>
      </c>
      <c r="H16" s="17" t="s">
        <v>17</v>
      </c>
      <c r="I16" s="18"/>
      <c r="J16" s="17">
        <v>571</v>
      </c>
      <c r="K16" s="17" t="s">
        <v>23</v>
      </c>
    </row>
    <row r="17" spans="1:11" x14ac:dyDescent="0.25">
      <c r="A17" s="15">
        <v>656</v>
      </c>
      <c r="B17" s="15" t="s">
        <v>5</v>
      </c>
      <c r="C17" s="16"/>
      <c r="D17" s="17">
        <v>665</v>
      </c>
      <c r="E17" s="17" t="s">
        <v>15</v>
      </c>
      <c r="F17" s="18"/>
      <c r="G17" s="17">
        <v>654</v>
      </c>
      <c r="H17" s="17" t="s">
        <v>18</v>
      </c>
      <c r="I17" s="18"/>
      <c r="J17" s="17">
        <v>572</v>
      </c>
      <c r="K17" s="17" t="s">
        <v>24</v>
      </c>
    </row>
    <row r="18" spans="1:11" x14ac:dyDescent="0.25">
      <c r="A18" s="15">
        <v>657</v>
      </c>
      <c r="B18" s="15" t="s">
        <v>6</v>
      </c>
      <c r="C18" s="16"/>
      <c r="D18" s="17">
        <v>666</v>
      </c>
      <c r="E18" s="17" t="s">
        <v>16</v>
      </c>
      <c r="F18" s="18"/>
      <c r="G18" s="17">
        <v>569</v>
      </c>
      <c r="H18" s="17" t="s">
        <v>19</v>
      </c>
      <c r="I18" s="18"/>
      <c r="J18" s="17">
        <v>574</v>
      </c>
      <c r="K18" s="17" t="s">
        <v>26</v>
      </c>
    </row>
    <row r="19" spans="1:11" x14ac:dyDescent="0.25">
      <c r="A19" s="15">
        <v>507</v>
      </c>
      <c r="B19" s="15" t="s">
        <v>157</v>
      </c>
      <c r="C19" s="16"/>
      <c r="D19" s="17">
        <v>570</v>
      </c>
      <c r="E19" s="17" t="s">
        <v>162</v>
      </c>
      <c r="F19" s="18"/>
      <c r="G19" s="17">
        <v>669</v>
      </c>
      <c r="H19" s="17" t="s">
        <v>20</v>
      </c>
      <c r="I19" s="18"/>
      <c r="J19" s="17">
        <v>671</v>
      </c>
      <c r="K19" s="17" t="s">
        <v>27</v>
      </c>
    </row>
    <row r="20" spans="1:11" x14ac:dyDescent="0.25">
      <c r="A20" s="15">
        <v>551</v>
      </c>
      <c r="B20" s="15" t="s">
        <v>158</v>
      </c>
      <c r="C20" s="16"/>
      <c r="D20" s="17">
        <v>573</v>
      </c>
      <c r="E20" s="17" t="s">
        <v>25</v>
      </c>
      <c r="F20" s="18"/>
      <c r="G20" s="17">
        <v>552</v>
      </c>
      <c r="H20" s="17" t="s">
        <v>21</v>
      </c>
      <c r="I20" s="18"/>
      <c r="J20" s="17">
        <v>672</v>
      </c>
      <c r="K20" s="17" t="s">
        <v>28</v>
      </c>
    </row>
    <row r="21" spans="1:11" x14ac:dyDescent="0.25">
      <c r="A21" s="15">
        <v>553</v>
      </c>
      <c r="B21" s="15" t="s">
        <v>7</v>
      </c>
      <c r="C21" s="16"/>
      <c r="D21" s="17">
        <v>673</v>
      </c>
      <c r="E21" s="17" t="s">
        <v>29</v>
      </c>
      <c r="F21" s="18"/>
      <c r="G21" s="17">
        <v>554</v>
      </c>
      <c r="H21" s="17" t="s">
        <v>22</v>
      </c>
      <c r="I21" s="18"/>
      <c r="J21" s="17">
        <v>674</v>
      </c>
      <c r="K21" s="17" t="s">
        <v>30</v>
      </c>
    </row>
    <row r="22" spans="1:11" x14ac:dyDescent="0.25">
      <c r="A22" s="15">
        <v>556</v>
      </c>
      <c r="B22" s="15" t="s">
        <v>8</v>
      </c>
      <c r="C22" s="16"/>
      <c r="D22" s="17">
        <v>566</v>
      </c>
      <c r="E22" s="17" t="s">
        <v>14</v>
      </c>
      <c r="F22" s="18"/>
      <c r="G22" s="17"/>
      <c r="H22" s="17"/>
      <c r="I22" s="18"/>
      <c r="J22" s="17"/>
      <c r="K22" s="17"/>
    </row>
    <row r="23" spans="1:11" x14ac:dyDescent="0.25">
      <c r="A23" s="15">
        <v>541</v>
      </c>
      <c r="B23" s="15" t="s">
        <v>9</v>
      </c>
      <c r="C23" s="16"/>
      <c r="D23" s="17"/>
      <c r="E23" s="17"/>
      <c r="F23" s="18"/>
      <c r="G23" s="17"/>
      <c r="H23" s="17"/>
      <c r="I23" s="18"/>
      <c r="J23" s="17"/>
      <c r="K23" s="17"/>
    </row>
    <row r="24" spans="1:11" x14ac:dyDescent="0.25">
      <c r="A24" s="15">
        <v>653</v>
      </c>
      <c r="B24" s="15" t="s">
        <v>10</v>
      </c>
      <c r="C24" s="16"/>
      <c r="D24" s="17"/>
      <c r="E24" s="17"/>
      <c r="F24" s="18"/>
      <c r="G24" s="17"/>
      <c r="H24" s="17"/>
      <c r="I24" s="18"/>
      <c r="J24" s="17"/>
      <c r="K24" s="17"/>
    </row>
    <row r="25" spans="1:11" x14ac:dyDescent="0.25">
      <c r="A25" s="15">
        <v>557</v>
      </c>
      <c r="B25" s="15" t="s">
        <v>11</v>
      </c>
      <c r="C25" s="16"/>
      <c r="D25" s="17"/>
      <c r="E25" s="17"/>
      <c r="F25" s="18"/>
      <c r="G25" s="17"/>
      <c r="H25" s="17"/>
      <c r="I25" s="18"/>
      <c r="J25" s="17"/>
      <c r="K25" s="17"/>
    </row>
    <row r="26" spans="1:11" x14ac:dyDescent="0.25">
      <c r="A26" s="15">
        <v>531</v>
      </c>
      <c r="B26" s="15" t="s">
        <v>159</v>
      </c>
      <c r="C26" s="16"/>
      <c r="D26" s="17"/>
      <c r="E26" s="17"/>
      <c r="F26" s="18"/>
      <c r="G26" s="17"/>
      <c r="H26" s="17"/>
      <c r="I26" s="18"/>
      <c r="J26" s="17"/>
      <c r="K26" s="17"/>
    </row>
    <row r="27" spans="1:11" x14ac:dyDescent="0.25">
      <c r="A27" s="15">
        <v>536</v>
      </c>
      <c r="B27" s="15" t="s">
        <v>12</v>
      </c>
      <c r="C27" s="16"/>
      <c r="D27" s="17"/>
      <c r="E27" s="17"/>
      <c r="F27" s="18"/>
      <c r="G27" s="17"/>
      <c r="H27" s="17"/>
      <c r="I27" s="18"/>
      <c r="J27" s="17"/>
      <c r="K27" s="17"/>
    </row>
    <row r="28" spans="1:11" x14ac:dyDescent="0.25">
      <c r="A28" s="15">
        <v>518</v>
      </c>
      <c r="B28" s="15" t="s">
        <v>160</v>
      </c>
      <c r="C28" s="16"/>
      <c r="D28" s="17"/>
      <c r="E28" s="17"/>
      <c r="F28" s="18"/>
      <c r="G28" s="17"/>
      <c r="H28" s="17"/>
      <c r="I28" s="18"/>
      <c r="J28" s="17"/>
      <c r="K28" s="17"/>
    </row>
    <row r="29" spans="1:11" x14ac:dyDescent="0.25">
      <c r="A29" s="15">
        <v>504</v>
      </c>
      <c r="B29" s="15" t="s">
        <v>161</v>
      </c>
      <c r="C29" s="16"/>
      <c r="D29" s="17"/>
      <c r="E29" s="17"/>
      <c r="F29" s="18"/>
      <c r="G29" s="17"/>
      <c r="H29" s="17"/>
      <c r="I29" s="18"/>
      <c r="J29" s="17"/>
      <c r="K29" s="17"/>
    </row>
    <row r="30" spans="1:11" x14ac:dyDescent="0.25">
      <c r="A30" s="15"/>
      <c r="B30" s="15"/>
      <c r="C30" s="16"/>
      <c r="D30" s="17"/>
      <c r="E30" s="17"/>
      <c r="F30" s="18"/>
      <c r="G30" s="17"/>
      <c r="H30" s="17"/>
      <c r="I30" s="18"/>
      <c r="J30" s="17"/>
      <c r="K30" s="17"/>
    </row>
    <row r="31" spans="1:11" x14ac:dyDescent="0.25">
      <c r="A31" s="15"/>
      <c r="B31" s="15"/>
      <c r="C31" s="16"/>
      <c r="D31" s="17"/>
      <c r="E31" s="17"/>
      <c r="F31" s="18"/>
      <c r="G31" s="17"/>
      <c r="H31" s="17"/>
      <c r="I31" s="18"/>
      <c r="J31" s="17"/>
      <c r="K31" s="17"/>
    </row>
    <row r="32" spans="1:11" x14ac:dyDescent="0.25">
      <c r="A32" s="15"/>
      <c r="B32" s="15"/>
      <c r="C32" s="16"/>
      <c r="D32" s="17"/>
      <c r="E32" s="17"/>
      <c r="F32" s="18"/>
      <c r="G32" s="17"/>
      <c r="H32" s="17"/>
      <c r="I32" s="18"/>
      <c r="J32" s="17"/>
      <c r="K32" s="17"/>
    </row>
    <row r="33" spans="1:11" x14ac:dyDescent="0.25">
      <c r="A33" s="15"/>
      <c r="B33" s="15"/>
      <c r="C33" s="16"/>
      <c r="D33" s="17"/>
      <c r="E33" s="17"/>
      <c r="F33" s="18"/>
      <c r="G33" s="17"/>
      <c r="H33" s="17"/>
      <c r="I33" s="18"/>
      <c r="J33" s="17"/>
      <c r="K33" s="17"/>
    </row>
    <row r="34" spans="1:11" x14ac:dyDescent="0.25">
      <c r="A34" s="15"/>
      <c r="B34" s="15"/>
      <c r="C34" s="16"/>
      <c r="D34" s="17"/>
      <c r="E34" s="17"/>
      <c r="F34" s="18"/>
      <c r="G34" s="17"/>
      <c r="H34" s="17"/>
      <c r="I34" s="18"/>
      <c r="J34" s="17"/>
      <c r="K34" s="17"/>
    </row>
    <row r="35" spans="1:11" x14ac:dyDescent="0.25">
      <c r="A35" s="15"/>
      <c r="B35" s="15"/>
      <c r="C35" s="16"/>
      <c r="D35" s="17"/>
      <c r="E35" s="17"/>
      <c r="F35" s="18"/>
      <c r="G35" s="17"/>
      <c r="H35" s="17"/>
      <c r="I35" s="18"/>
      <c r="J35" s="17"/>
      <c r="K35" s="17"/>
    </row>
    <row r="36" spans="1:11" x14ac:dyDescent="0.25">
      <c r="A36" s="15"/>
      <c r="B36" s="15"/>
      <c r="C36" s="16"/>
      <c r="D36" s="17"/>
      <c r="E36" s="17"/>
      <c r="F36" s="18"/>
      <c r="G36" s="17"/>
      <c r="H36" s="17"/>
      <c r="I36" s="18"/>
      <c r="J36" s="17"/>
      <c r="K36" s="17"/>
    </row>
    <row r="37" spans="1:11" x14ac:dyDescent="0.25">
      <c r="A37" s="15"/>
      <c r="B37" s="15"/>
      <c r="C37" s="16"/>
      <c r="D37" s="17"/>
      <c r="E37" s="17"/>
      <c r="F37" s="18"/>
      <c r="G37" s="17"/>
      <c r="H37" s="17"/>
      <c r="I37" s="18"/>
      <c r="J37" s="17"/>
      <c r="K37" s="17"/>
    </row>
    <row r="38" spans="1:11" x14ac:dyDescent="0.25">
      <c r="A38" s="15"/>
      <c r="B38" s="15"/>
      <c r="C38" s="16"/>
      <c r="D38" s="17"/>
      <c r="E38" s="17"/>
      <c r="F38" s="18"/>
      <c r="G38" s="17"/>
      <c r="H38" s="17"/>
      <c r="I38" s="18"/>
      <c r="J38" s="17"/>
      <c r="K38" s="17"/>
    </row>
    <row r="39" spans="1:11" x14ac:dyDescent="0.25">
      <c r="A39" s="15"/>
      <c r="B39" s="15"/>
      <c r="C39" s="16"/>
      <c r="D39" s="17"/>
      <c r="E39" s="17"/>
      <c r="F39" s="18"/>
      <c r="G39" s="17"/>
      <c r="H39" s="17"/>
      <c r="I39" s="18"/>
      <c r="J39" s="17"/>
      <c r="K39" s="17"/>
    </row>
    <row r="40" spans="1:11" x14ac:dyDescent="0.25">
      <c r="A40" s="15"/>
      <c r="B40" s="15"/>
      <c r="C40" s="16"/>
      <c r="D40" s="17"/>
      <c r="E40" s="17"/>
      <c r="F40" s="18"/>
      <c r="G40" s="17"/>
      <c r="H40" s="17"/>
      <c r="I40" s="18"/>
      <c r="J40" s="17"/>
      <c r="K40" s="17"/>
    </row>
    <row r="41" spans="1:11" x14ac:dyDescent="0.25">
      <c r="A41" s="15"/>
      <c r="B41" s="15"/>
      <c r="C41" s="16"/>
      <c r="D41" s="17"/>
      <c r="E41" s="17"/>
      <c r="F41" s="18"/>
      <c r="G41" s="17"/>
      <c r="H41" s="17"/>
      <c r="I41" s="18"/>
      <c r="J41" s="17"/>
      <c r="K41" s="17"/>
    </row>
    <row r="42" spans="1:11" x14ac:dyDescent="0.25">
      <c r="A42" s="15"/>
      <c r="B42" s="15"/>
      <c r="C42" s="16"/>
      <c r="D42" s="17"/>
      <c r="E42" s="17"/>
      <c r="F42" s="18"/>
      <c r="G42" s="17"/>
      <c r="H42" s="17"/>
      <c r="I42" s="18"/>
      <c r="J42" s="17"/>
      <c r="K42" s="17"/>
    </row>
    <row r="43" spans="1:11" x14ac:dyDescent="0.25">
      <c r="A43" s="15"/>
      <c r="B43" s="15"/>
      <c r="C43" s="16"/>
      <c r="D43" s="17"/>
      <c r="E43" s="17"/>
      <c r="F43" s="18"/>
      <c r="G43" s="17"/>
      <c r="H43" s="17"/>
      <c r="I43" s="18"/>
      <c r="J43" s="17"/>
      <c r="K43" s="17"/>
    </row>
    <row r="44" spans="1:11" x14ac:dyDescent="0.25">
      <c r="A44" s="15"/>
      <c r="B44" s="15"/>
      <c r="C44" s="16"/>
      <c r="D44" s="17"/>
      <c r="E44" s="17"/>
      <c r="F44" s="18"/>
      <c r="G44" s="17"/>
      <c r="H44" s="17"/>
      <c r="I44" s="18"/>
      <c r="J44" s="17"/>
      <c r="K44" s="17"/>
    </row>
    <row r="45" spans="1:11" x14ac:dyDescent="0.25">
      <c r="A45" s="15"/>
      <c r="B45" s="15"/>
      <c r="C45" s="16"/>
      <c r="D45" s="17"/>
      <c r="E45" s="17"/>
      <c r="F45" s="18"/>
      <c r="G45" s="17"/>
      <c r="H45" s="17"/>
      <c r="I45" s="18"/>
      <c r="J45" s="17"/>
      <c r="K45" s="17"/>
    </row>
    <row r="46" spans="1:11" x14ac:dyDescent="0.25">
      <c r="A46" s="15"/>
      <c r="B46" s="15"/>
      <c r="C46" s="16"/>
      <c r="D46" s="17"/>
      <c r="E46" s="17"/>
      <c r="F46" s="18"/>
      <c r="G46" s="17"/>
      <c r="H46" s="17"/>
      <c r="I46" s="18"/>
      <c r="J46" s="17"/>
      <c r="K46" s="17"/>
    </row>
    <row r="47" spans="1:11" x14ac:dyDescent="0.25">
      <c r="A47" s="15"/>
      <c r="B47" s="15"/>
      <c r="C47" s="16"/>
      <c r="D47" s="17"/>
      <c r="E47" s="17"/>
      <c r="F47" s="18"/>
      <c r="G47" s="17"/>
      <c r="H47" s="17"/>
      <c r="I47" s="18"/>
      <c r="J47" s="17"/>
      <c r="K47" s="17"/>
    </row>
    <row r="48" spans="1:11" x14ac:dyDescent="0.25">
      <c r="A48" s="15"/>
      <c r="B48" s="15"/>
      <c r="C48" s="16"/>
      <c r="D48" s="17"/>
      <c r="E48" s="17"/>
      <c r="F48" s="18"/>
      <c r="G48" s="17"/>
      <c r="H48" s="17"/>
      <c r="I48" s="18"/>
      <c r="J48" s="17"/>
      <c r="K48" s="17"/>
    </row>
    <row r="49" spans="1:11" x14ac:dyDescent="0.25">
      <c r="A49" s="15"/>
      <c r="B49" s="15"/>
      <c r="C49" s="16"/>
      <c r="D49" s="17"/>
      <c r="E49" s="17"/>
      <c r="F49" s="18"/>
      <c r="G49" s="17"/>
      <c r="H49" s="17"/>
      <c r="I49" s="18"/>
      <c r="J49" s="17"/>
      <c r="K49" s="17"/>
    </row>
    <row r="50" spans="1:11" x14ac:dyDescent="0.25">
      <c r="A50" s="15"/>
      <c r="B50" s="15"/>
      <c r="C50" s="16"/>
      <c r="D50" s="17"/>
      <c r="E50" s="17"/>
      <c r="F50" s="18"/>
      <c r="G50" s="17"/>
      <c r="H50" s="17"/>
      <c r="I50" s="18"/>
      <c r="J50" s="17"/>
      <c r="K50" s="17"/>
    </row>
    <row r="51" spans="1:11" x14ac:dyDescent="0.25">
      <c r="A51" s="15"/>
      <c r="B51" s="15"/>
      <c r="C51" s="16"/>
      <c r="D51" s="17"/>
      <c r="E51" s="17"/>
      <c r="F51" s="18"/>
      <c r="G51" s="17"/>
      <c r="H51" s="17"/>
      <c r="I51" s="18"/>
      <c r="J51" s="17"/>
      <c r="K51" s="17"/>
    </row>
    <row r="52" spans="1:11" x14ac:dyDescent="0.25">
      <c r="A52" s="15"/>
      <c r="B52" s="15"/>
      <c r="C52" s="16"/>
      <c r="D52" s="17"/>
      <c r="E52" s="17"/>
      <c r="F52" s="18"/>
      <c r="G52" s="17"/>
      <c r="H52" s="17"/>
      <c r="I52" s="18"/>
      <c r="J52" s="17"/>
      <c r="K52" s="17"/>
    </row>
    <row r="53" spans="1:11" x14ac:dyDescent="0.25">
      <c r="A53" s="15"/>
      <c r="B53" s="15"/>
      <c r="C53" s="16"/>
      <c r="D53" s="17"/>
      <c r="E53" s="17"/>
      <c r="F53" s="18"/>
      <c r="G53" s="17"/>
      <c r="H53" s="17"/>
      <c r="I53" s="18"/>
      <c r="J53" s="17"/>
      <c r="K53" s="17"/>
    </row>
    <row r="54" spans="1:11" x14ac:dyDescent="0.25">
      <c r="A54" s="15"/>
      <c r="B54" s="15"/>
      <c r="C54" s="16"/>
      <c r="D54" s="17"/>
      <c r="E54" s="17"/>
      <c r="F54" s="18"/>
      <c r="G54" s="17"/>
      <c r="H54" s="17"/>
      <c r="I54" s="18"/>
      <c r="J54" s="17"/>
      <c r="K54" s="17"/>
    </row>
    <row r="55" spans="1:11" x14ac:dyDescent="0.25">
      <c r="A55" s="15"/>
      <c r="B55" s="15"/>
      <c r="C55" s="16"/>
      <c r="D55" s="17"/>
      <c r="E55" s="17"/>
      <c r="F55" s="18"/>
      <c r="G55" s="17"/>
      <c r="H55" s="17"/>
      <c r="I55" s="18"/>
      <c r="J55" s="17"/>
      <c r="K55" s="17"/>
    </row>
    <row r="56" spans="1:11" x14ac:dyDescent="0.25">
      <c r="A56" s="15"/>
      <c r="B56" s="15"/>
      <c r="C56" s="16"/>
      <c r="D56" s="17"/>
      <c r="E56" s="17"/>
      <c r="F56" s="18"/>
      <c r="G56" s="17"/>
      <c r="H56" s="17"/>
      <c r="I56" s="18"/>
      <c r="J56" s="17"/>
      <c r="K56" s="17"/>
    </row>
    <row r="57" spans="1:11" x14ac:dyDescent="0.25">
      <c r="A57" s="15"/>
      <c r="B57" s="15"/>
      <c r="C57" s="16"/>
      <c r="D57" s="17"/>
      <c r="E57" s="17"/>
      <c r="F57" s="18"/>
      <c r="G57" s="17"/>
      <c r="H57" s="17"/>
      <c r="I57" s="18"/>
      <c r="J57" s="17"/>
      <c r="K57" s="17"/>
    </row>
    <row r="58" spans="1:11" x14ac:dyDescent="0.25">
      <c r="A58" s="15"/>
      <c r="B58" s="15"/>
      <c r="C58" s="16"/>
      <c r="D58" s="17"/>
      <c r="E58" s="17"/>
      <c r="F58" s="18"/>
      <c r="G58" s="17"/>
      <c r="H58" s="17"/>
      <c r="I58" s="18"/>
      <c r="J58" s="17"/>
      <c r="K58" s="17"/>
    </row>
    <row r="59" spans="1:11" x14ac:dyDescent="0.25">
      <c r="A59" s="15"/>
      <c r="B59" s="15"/>
      <c r="C59" s="16"/>
      <c r="D59" s="17"/>
      <c r="E59" s="17"/>
      <c r="F59" s="18"/>
      <c r="G59" s="17"/>
      <c r="H59" s="17"/>
      <c r="I59" s="18"/>
      <c r="J59" s="17"/>
      <c r="K59" s="17"/>
    </row>
    <row r="60" spans="1:11" x14ac:dyDescent="0.25">
      <c r="A60" s="15"/>
      <c r="B60" s="15"/>
      <c r="C60" s="16"/>
      <c r="D60" s="17"/>
      <c r="E60" s="17"/>
      <c r="F60" s="18"/>
      <c r="G60" s="17"/>
      <c r="H60" s="17"/>
      <c r="I60" s="18"/>
      <c r="J60" s="17"/>
      <c r="K60" s="17"/>
    </row>
    <row r="61" spans="1:11" x14ac:dyDescent="0.25">
      <c r="A61" s="15"/>
      <c r="B61" s="15"/>
      <c r="C61" s="16"/>
      <c r="D61" s="17"/>
      <c r="E61" s="17"/>
      <c r="F61" s="18"/>
      <c r="G61" s="17"/>
      <c r="H61" s="17"/>
      <c r="I61" s="18"/>
      <c r="J61" s="17"/>
      <c r="K61" s="17"/>
    </row>
    <row r="62" spans="1:11" x14ac:dyDescent="0.25">
      <c r="A62" s="15"/>
      <c r="B62" s="15"/>
      <c r="C62" s="16"/>
      <c r="D62" s="17"/>
      <c r="E62" s="17"/>
      <c r="F62" s="18"/>
      <c r="G62" s="17"/>
      <c r="H62" s="17"/>
      <c r="I62" s="18"/>
      <c r="J62" s="17"/>
      <c r="K62" s="17"/>
    </row>
    <row r="63" spans="1:11" x14ac:dyDescent="0.25">
      <c r="A63" s="15"/>
      <c r="B63" s="15"/>
      <c r="C63" s="16"/>
      <c r="D63" s="17"/>
      <c r="E63" s="17"/>
      <c r="F63" s="18"/>
      <c r="G63" s="17"/>
      <c r="H63" s="17"/>
      <c r="I63" s="18"/>
      <c r="J63" s="17"/>
      <c r="K63" s="17"/>
    </row>
    <row r="64" spans="1:11" x14ac:dyDescent="0.25">
      <c r="A64" s="15"/>
      <c r="B64" s="15"/>
      <c r="C64" s="16"/>
      <c r="D64" s="17"/>
      <c r="E64" s="17"/>
      <c r="F64" s="18"/>
      <c r="G64" s="17"/>
      <c r="H64" s="17"/>
      <c r="I64" s="18"/>
      <c r="J64" s="17"/>
      <c r="K64" s="17"/>
    </row>
    <row r="65" spans="1:11" x14ac:dyDescent="0.25">
      <c r="A65" s="15"/>
      <c r="B65" s="15"/>
      <c r="C65" s="16"/>
      <c r="D65" s="17"/>
      <c r="E65" s="17"/>
      <c r="F65" s="18"/>
      <c r="G65" s="17"/>
      <c r="H65" s="17"/>
      <c r="I65" s="18"/>
      <c r="J65" s="17"/>
      <c r="K65" s="17"/>
    </row>
    <row r="66" spans="1:11" x14ac:dyDescent="0.25">
      <c r="A66" s="15"/>
      <c r="B66" s="15"/>
      <c r="C66" s="16"/>
      <c r="D66" s="17"/>
      <c r="E66" s="17"/>
      <c r="F66" s="18"/>
      <c r="G66" s="17"/>
      <c r="H66" s="17"/>
      <c r="I66" s="18"/>
      <c r="J66" s="17"/>
      <c r="K66" s="17"/>
    </row>
    <row r="67" spans="1:11" x14ac:dyDescent="0.25">
      <c r="A67" s="15"/>
      <c r="B67" s="15"/>
      <c r="C67" s="16"/>
      <c r="D67" s="17"/>
      <c r="E67" s="17"/>
      <c r="F67" s="18"/>
      <c r="G67" s="17"/>
      <c r="H67" s="17"/>
      <c r="I67" s="18"/>
      <c r="J67" s="17"/>
      <c r="K67" s="17"/>
    </row>
    <row r="68" spans="1:11" x14ac:dyDescent="0.25">
      <c r="A68" s="15"/>
      <c r="B68" s="15"/>
      <c r="C68" s="16"/>
      <c r="D68" s="17"/>
      <c r="E68" s="17"/>
      <c r="F68" s="18"/>
      <c r="G68" s="17"/>
      <c r="H68" s="17"/>
      <c r="I68" s="18"/>
      <c r="J68" s="17"/>
      <c r="K68" s="17"/>
    </row>
  </sheetData>
  <sheetProtection sheet="1" objects="1" scenarios="1" formatCells="0" formatColumns="0" formatRows="0" insertHyperlinks="0" deleteRows="0" sort="0" autoFilter="0" pivotTables="0"/>
  <mergeCells count="12">
    <mergeCell ref="A6:K6"/>
    <mergeCell ref="A1:K1"/>
    <mergeCell ref="A3:K3"/>
    <mergeCell ref="J14:K14"/>
    <mergeCell ref="A10:B10"/>
    <mergeCell ref="A12:K12"/>
    <mergeCell ref="A8:B8"/>
    <mergeCell ref="A9:B9"/>
    <mergeCell ref="A14:B14"/>
    <mergeCell ref="D14:E14"/>
    <mergeCell ref="G14:H14"/>
    <mergeCell ref="A4:K4"/>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C694-5243-485B-8045-BF4A68B8FE98}">
  <dimension ref="A1:Y107"/>
  <sheetViews>
    <sheetView workbookViewId="0">
      <pane ySplit="1" topLeftCell="A2" activePane="bottomLeft" state="frozen"/>
      <selection pane="bottomLeft" activeCell="O1" sqref="O1"/>
    </sheetView>
  </sheetViews>
  <sheetFormatPr defaultColWidth="8.7109375" defaultRowHeight="15" x14ac:dyDescent="0.25"/>
  <cols>
    <col min="1" max="1" width="12.42578125" style="6" bestFit="1" customWidth="1"/>
    <col min="2" max="2" width="17.85546875" style="6" customWidth="1"/>
    <col min="3" max="3" width="6.5703125" style="6" bestFit="1" customWidth="1"/>
    <col min="4" max="4" width="9.140625" style="6" bestFit="1" customWidth="1"/>
    <col min="5" max="14" width="11.7109375" style="5" customWidth="1"/>
    <col min="15" max="15" width="11.7109375" style="6" bestFit="1" customWidth="1"/>
    <col min="16" max="16" width="6.140625" style="6" customWidth="1"/>
    <col min="17" max="17" width="4.7109375" style="6" customWidth="1"/>
    <col min="18" max="18" width="7.7109375" style="6" customWidth="1"/>
    <col min="19" max="19" width="35.7109375" style="6" customWidth="1"/>
    <col min="20" max="20" width="12.140625" style="6" customWidth="1"/>
    <col min="21" max="25" width="11.7109375" style="5" customWidth="1"/>
    <col min="26" max="16384" width="8.7109375" style="6"/>
  </cols>
  <sheetData>
    <row r="1" spans="1:25" s="20" customFormat="1" ht="60" x14ac:dyDescent="0.25">
      <c r="A1" s="23" t="s">
        <v>107</v>
      </c>
      <c r="B1" s="23" t="s">
        <v>33</v>
      </c>
      <c r="C1" s="23" t="s">
        <v>34</v>
      </c>
      <c r="D1" s="23" t="s">
        <v>106</v>
      </c>
      <c r="E1" s="24" t="s">
        <v>37</v>
      </c>
      <c r="F1" s="25" t="s">
        <v>3</v>
      </c>
      <c r="G1" s="24" t="s">
        <v>109</v>
      </c>
      <c r="H1" s="25" t="s">
        <v>38</v>
      </c>
      <c r="I1" s="24" t="s">
        <v>42</v>
      </c>
      <c r="J1" s="25" t="s">
        <v>43</v>
      </c>
      <c r="K1" s="24" t="s">
        <v>108</v>
      </c>
      <c r="L1" s="25" t="s">
        <v>44</v>
      </c>
      <c r="M1" s="24" t="s">
        <v>153</v>
      </c>
      <c r="N1" s="24" t="s">
        <v>154</v>
      </c>
      <c r="O1" s="1" t="s">
        <v>45</v>
      </c>
      <c r="P1" s="2" t="s">
        <v>33</v>
      </c>
      <c r="Q1" s="2" t="s">
        <v>34</v>
      </c>
      <c r="R1" s="2" t="s">
        <v>35</v>
      </c>
      <c r="S1" s="2" t="s">
        <v>36</v>
      </c>
      <c r="T1" s="2" t="s">
        <v>46</v>
      </c>
      <c r="U1" s="3" t="s">
        <v>47</v>
      </c>
      <c r="V1" s="3" t="s">
        <v>48</v>
      </c>
      <c r="W1" s="3" t="s">
        <v>49</v>
      </c>
      <c r="X1" s="3" t="s">
        <v>50</v>
      </c>
      <c r="Y1" s="3" t="s">
        <v>51</v>
      </c>
    </row>
    <row r="2" spans="1:25" x14ac:dyDescent="0.25">
      <c r="A2" s="26" t="str">
        <f t="shared" ref="A2:A33" si="0">IF(O2="",A1,O2)</f>
        <v>A00000001</v>
      </c>
      <c r="B2" s="26" t="str">
        <f t="shared" ref="B2:B33" si="1">IF(P2="",B1,P2)</f>
        <v>Aaron J. Whitfield</v>
      </c>
      <c r="C2" s="26">
        <f t="shared" ref="C2:C33" si="2">IF(Q2="",C1,Q2)</f>
        <v>59</v>
      </c>
      <c r="D2" s="26" t="str">
        <f>IF(AND(Y2&gt;=Setup!$A$9,C2&gt;=Setup!$A$10),"Y","N")</f>
        <v>N</v>
      </c>
      <c r="E2" s="27">
        <f>IF(COUNTIF(Setup!A:A, R2) &gt; 0, U2, 0)</f>
        <v>0</v>
      </c>
      <c r="F2" s="28">
        <f>IF(COUNTIF(Setup!D:D, R2) &gt; 0, U2, 0)</f>
        <v>0</v>
      </c>
      <c r="G2" s="27">
        <f>IF(COUNTIF(Setup!G:G, R2) &gt; 0, U2, 0)</f>
        <v>0</v>
      </c>
      <c r="H2" s="28">
        <f>IF(COUNTIF(Setup!J:J, R2) &gt; 0, U2, 0)</f>
        <v>0</v>
      </c>
      <c r="I2" s="27">
        <f t="shared" ref="I2:I33" si="3">SUMIFS(E:E,$A:$A,$O2)</f>
        <v>1036.8000000000002</v>
      </c>
      <c r="J2" s="28">
        <f t="shared" ref="J2:J33" si="4">SUMIFS(F:F,$A:$A,$O2)</f>
        <v>0</v>
      </c>
      <c r="K2" s="27">
        <f t="shared" ref="K2:K33" si="5">SUMIFS(G:G,$A:$A,$O2)</f>
        <v>0</v>
      </c>
      <c r="L2" s="28">
        <f t="shared" ref="L2:L33" si="6">SUMIFS(H:H,$A:$A,$O2)</f>
        <v>0</v>
      </c>
      <c r="M2" s="27">
        <f>IF(D2="Y",MAX(0,I2-Setup!$A$8),0)</f>
        <v>0</v>
      </c>
      <c r="N2" s="27">
        <f>IF(D2="Y",MAX(0,K2-Setup!$A$8),0)</f>
        <v>0</v>
      </c>
      <c r="O2" s="4" t="s">
        <v>113</v>
      </c>
      <c r="P2" s="4" t="s">
        <v>132</v>
      </c>
      <c r="Q2" s="4">
        <v>59</v>
      </c>
      <c r="R2" s="4" t="s">
        <v>52</v>
      </c>
      <c r="S2" s="4" t="s">
        <v>53</v>
      </c>
      <c r="T2" s="4"/>
      <c r="U2" s="5">
        <v>279.89999999999998</v>
      </c>
      <c r="V2" s="5">
        <v>0</v>
      </c>
      <c r="W2" s="5">
        <v>34559.279999999999</v>
      </c>
      <c r="X2" s="5">
        <v>33634.44</v>
      </c>
      <c r="Y2" s="5">
        <v>46174.8</v>
      </c>
    </row>
    <row r="3" spans="1:25" x14ac:dyDescent="0.25">
      <c r="A3" s="10" t="str">
        <f t="shared" si="0"/>
        <v>A00000001</v>
      </c>
      <c r="B3" s="10" t="str">
        <f t="shared" si="1"/>
        <v>Aaron J. Whitfield</v>
      </c>
      <c r="C3" s="10">
        <f t="shared" si="2"/>
        <v>59</v>
      </c>
      <c r="D3" s="10" t="str">
        <f>IF(AND(Y3&gt;=Setup!$A$9,C3&gt;=Setup!$A$10),"Y","N")</f>
        <v>N</v>
      </c>
      <c r="E3" s="21">
        <f>IF(COUNTIF(Setup!A:A, R3) &gt; 0, U3, 0)</f>
        <v>0</v>
      </c>
      <c r="F3" s="22">
        <f>IF(COUNTIF(Setup!D:D, R3) &gt; 0, U3, 0)</f>
        <v>0</v>
      </c>
      <c r="G3" s="21">
        <f>IF(COUNTIF(Setup!G:G, R3) &gt; 0, U3, 0)</f>
        <v>0</v>
      </c>
      <c r="H3" s="22">
        <f>IF(COUNTIF(Setup!J:J, R3) &gt; 0, U3, 0)</f>
        <v>0</v>
      </c>
      <c r="I3" s="21">
        <f t="shared" si="3"/>
        <v>0</v>
      </c>
      <c r="J3" s="22">
        <f t="shared" si="4"/>
        <v>0</v>
      </c>
      <c r="K3" s="21">
        <f t="shared" si="5"/>
        <v>0</v>
      </c>
      <c r="L3" s="22">
        <f t="shared" si="6"/>
        <v>0</v>
      </c>
      <c r="M3" s="21">
        <f>IF(D3="Y",MAX(0,I3-Setup!$A$8),0)</f>
        <v>0</v>
      </c>
      <c r="N3" s="21">
        <f>IF(D3="Y",MAX(0,K3-Setup!$A$8),0)</f>
        <v>0</v>
      </c>
      <c r="O3" s="4" t="s">
        <v>114</v>
      </c>
      <c r="P3" s="4" t="s">
        <v>114</v>
      </c>
      <c r="Q3" s="4"/>
      <c r="R3" s="4" t="s">
        <v>54</v>
      </c>
      <c r="S3" s="4" t="s">
        <v>55</v>
      </c>
      <c r="T3" s="4"/>
      <c r="U3" s="5">
        <v>0</v>
      </c>
      <c r="V3" s="5">
        <v>1153.1400000000001</v>
      </c>
      <c r="W3" s="5">
        <v>34559.279999999999</v>
      </c>
      <c r="X3" s="5">
        <v>33634.44</v>
      </c>
      <c r="Y3" s="5">
        <v>46174.8</v>
      </c>
    </row>
    <row r="4" spans="1:25" x14ac:dyDescent="0.25">
      <c r="A4" s="10" t="str">
        <f t="shared" si="0"/>
        <v>A00000001</v>
      </c>
      <c r="B4" s="10" t="str">
        <f t="shared" si="1"/>
        <v>Aaron J. Whitfield</v>
      </c>
      <c r="C4" s="10">
        <f t="shared" si="2"/>
        <v>59</v>
      </c>
      <c r="D4" s="10" t="str">
        <f>IF(AND(Y4&gt;=Setup!$A$9,C4&gt;=Setup!$A$10),"Y","N")</f>
        <v>N</v>
      </c>
      <c r="E4" s="21">
        <f>IF(COUNTIF(Setup!A:A, R4) &gt; 0, U4, 0)</f>
        <v>0</v>
      </c>
      <c r="F4" s="22">
        <f>IF(COUNTIF(Setup!D:D, R4) &gt; 0, U4, 0)</f>
        <v>0</v>
      </c>
      <c r="G4" s="21">
        <f>IF(COUNTIF(Setup!G:G, R4) &gt; 0, U4, 0)</f>
        <v>0</v>
      </c>
      <c r="H4" s="22">
        <f>IF(COUNTIF(Setup!J:J, R4) &gt; 0, U4, 0)</f>
        <v>0</v>
      </c>
      <c r="I4" s="21">
        <f t="shared" si="3"/>
        <v>0</v>
      </c>
      <c r="J4" s="22">
        <f t="shared" si="4"/>
        <v>0</v>
      </c>
      <c r="K4" s="21">
        <f t="shared" si="5"/>
        <v>0</v>
      </c>
      <c r="L4" s="22">
        <f t="shared" si="6"/>
        <v>0</v>
      </c>
      <c r="M4" s="21">
        <f>IF(D4="Y",MAX(0,I4-Setup!$A$8),0)</f>
        <v>0</v>
      </c>
      <c r="N4" s="21">
        <f>IF(D4="Y",MAX(0,K4-Setup!$A$8),0)</f>
        <v>0</v>
      </c>
      <c r="O4" s="4" t="s">
        <v>114</v>
      </c>
      <c r="P4" s="4" t="s">
        <v>114</v>
      </c>
      <c r="Q4" s="4"/>
      <c r="R4" s="4" t="s">
        <v>56</v>
      </c>
      <c r="S4" s="4" t="s">
        <v>57</v>
      </c>
      <c r="T4" s="4"/>
      <c r="U4" s="5">
        <v>0</v>
      </c>
      <c r="V4" s="5">
        <v>0</v>
      </c>
      <c r="W4" s="5">
        <v>34559.279999999999</v>
      </c>
      <c r="X4" s="5">
        <v>33634.44</v>
      </c>
      <c r="Y4" s="5">
        <v>46174.8</v>
      </c>
    </row>
    <row r="5" spans="1:25" x14ac:dyDescent="0.25">
      <c r="A5" s="10" t="str">
        <f t="shared" si="0"/>
        <v>A00000001</v>
      </c>
      <c r="B5" s="10" t="str">
        <f t="shared" si="1"/>
        <v>Aaron J. Whitfield</v>
      </c>
      <c r="C5" s="10">
        <f t="shared" si="2"/>
        <v>59</v>
      </c>
      <c r="D5" s="10" t="str">
        <f>IF(AND(Y5&gt;=Setup!$A$9,C5&gt;=Setup!$A$10),"Y","N")</f>
        <v>N</v>
      </c>
      <c r="E5" s="21">
        <f>IF(COUNTIF(Setup!A:A, R5) &gt; 0, U5, 0)</f>
        <v>345.6</v>
      </c>
      <c r="F5" s="22">
        <f>IF(COUNTIF(Setup!D:D, R5) &gt; 0, U5, 0)</f>
        <v>0</v>
      </c>
      <c r="G5" s="21">
        <f>IF(COUNTIF(Setup!G:G, R5) &gt; 0, U5, 0)</f>
        <v>0</v>
      </c>
      <c r="H5" s="22">
        <f>IF(COUNTIF(Setup!J:J, R5) &gt; 0, U5, 0)</f>
        <v>0</v>
      </c>
      <c r="I5" s="21">
        <f t="shared" si="3"/>
        <v>0</v>
      </c>
      <c r="J5" s="22">
        <f t="shared" si="4"/>
        <v>0</v>
      </c>
      <c r="K5" s="21">
        <f t="shared" si="5"/>
        <v>0</v>
      </c>
      <c r="L5" s="22">
        <f t="shared" si="6"/>
        <v>0</v>
      </c>
      <c r="M5" s="21">
        <f>IF(D5="Y",MAX(0,I5-Setup!$A$8),0)</f>
        <v>0</v>
      </c>
      <c r="N5" s="21">
        <f>IF(D5="Y",MAX(0,K5-Setup!$A$8),0)</f>
        <v>0</v>
      </c>
      <c r="O5" s="4" t="s">
        <v>114</v>
      </c>
      <c r="P5" s="4" t="s">
        <v>114</v>
      </c>
      <c r="Q5" s="4"/>
      <c r="R5" s="4" t="s">
        <v>58</v>
      </c>
      <c r="S5" s="4" t="s">
        <v>59</v>
      </c>
      <c r="T5" s="4" t="s">
        <v>60</v>
      </c>
      <c r="U5" s="5">
        <v>345.6</v>
      </c>
      <c r="V5" s="5">
        <v>0</v>
      </c>
      <c r="W5" s="5">
        <v>34559.279999999999</v>
      </c>
      <c r="X5" s="5">
        <v>33634.44</v>
      </c>
      <c r="Y5" s="5">
        <v>46174.8</v>
      </c>
    </row>
    <row r="6" spans="1:25" x14ac:dyDescent="0.25">
      <c r="A6" s="10" t="str">
        <f t="shared" si="0"/>
        <v>A00000001</v>
      </c>
      <c r="B6" s="10" t="str">
        <f t="shared" si="1"/>
        <v>Aaron J. Whitfield</v>
      </c>
      <c r="C6" s="10">
        <f t="shared" si="2"/>
        <v>59</v>
      </c>
      <c r="D6" s="10" t="str">
        <f>IF(AND(Y6&gt;=Setup!$A$9,C6&gt;=Setup!$A$10),"Y","N")</f>
        <v>N</v>
      </c>
      <c r="E6" s="21">
        <f>IF(COUNTIF(Setup!A:A, R6) &gt; 0, U6, 0)</f>
        <v>691.2</v>
      </c>
      <c r="F6" s="22">
        <f>IF(COUNTIF(Setup!D:D, R6) &gt; 0, U6, 0)</f>
        <v>0</v>
      </c>
      <c r="G6" s="21">
        <f>IF(COUNTIF(Setup!G:G, R6) &gt; 0, U6, 0)</f>
        <v>0</v>
      </c>
      <c r="H6" s="22">
        <f>IF(COUNTIF(Setup!J:J, R6) &gt; 0, U6, 0)</f>
        <v>0</v>
      </c>
      <c r="I6" s="21">
        <f t="shared" si="3"/>
        <v>0</v>
      </c>
      <c r="J6" s="22">
        <f t="shared" si="4"/>
        <v>0</v>
      </c>
      <c r="K6" s="21">
        <f t="shared" si="5"/>
        <v>0</v>
      </c>
      <c r="L6" s="22">
        <f t="shared" si="6"/>
        <v>0</v>
      </c>
      <c r="M6" s="21">
        <f>IF(D6="Y",MAX(0,I6-Setup!$A$8),0)</f>
        <v>0</v>
      </c>
      <c r="N6" s="21">
        <f>IF(D6="Y",MAX(0,K6-Setup!$A$8),0)</f>
        <v>0</v>
      </c>
      <c r="O6" s="4" t="s">
        <v>114</v>
      </c>
      <c r="P6" s="4" t="s">
        <v>114</v>
      </c>
      <c r="Q6" s="4"/>
      <c r="R6" s="4" t="s">
        <v>61</v>
      </c>
      <c r="S6" s="4" t="s">
        <v>62</v>
      </c>
      <c r="T6" s="4" t="s">
        <v>60</v>
      </c>
      <c r="U6" s="5">
        <v>691.2</v>
      </c>
      <c r="V6" s="5">
        <v>0</v>
      </c>
      <c r="W6" s="5">
        <v>34559.279999999999</v>
      </c>
      <c r="X6" s="5">
        <v>33634.44</v>
      </c>
      <c r="Y6" s="5">
        <v>46174.8</v>
      </c>
    </row>
    <row r="7" spans="1:25" x14ac:dyDescent="0.25">
      <c r="A7" s="10" t="str">
        <f t="shared" si="0"/>
        <v>A00000002</v>
      </c>
      <c r="B7" s="10" t="str">
        <f t="shared" si="1"/>
        <v>Benjamin A. Foster</v>
      </c>
      <c r="C7" s="10">
        <f t="shared" si="2"/>
        <v>59</v>
      </c>
      <c r="D7" s="10" t="str">
        <f>IF(AND(Y7&gt;=Setup!$A$9,C7&gt;=Setup!$A$10),"Y","N")</f>
        <v>N</v>
      </c>
      <c r="E7" s="21">
        <f>IF(COUNTIF(Setup!A:A, R7) &gt; 0, U7, 0)</f>
        <v>0</v>
      </c>
      <c r="F7" s="22">
        <f>IF(COUNTIF(Setup!D:D, R7) &gt; 0, U7, 0)</f>
        <v>0</v>
      </c>
      <c r="G7" s="21">
        <f>IF(COUNTIF(Setup!G:G, R7) &gt; 0, U7, 0)</f>
        <v>0</v>
      </c>
      <c r="H7" s="22">
        <f>IF(COUNTIF(Setup!J:J, R7) &gt; 0, U7, 0)</f>
        <v>0</v>
      </c>
      <c r="I7" s="21">
        <f t="shared" si="3"/>
        <v>489.59999999999997</v>
      </c>
      <c r="J7" s="22">
        <f t="shared" si="4"/>
        <v>0</v>
      </c>
      <c r="K7" s="21">
        <f t="shared" si="5"/>
        <v>0</v>
      </c>
      <c r="L7" s="22">
        <f t="shared" si="6"/>
        <v>0</v>
      </c>
      <c r="M7" s="21">
        <f>IF(D7="Y",MAX(0,I7-Setup!$A$8),0)</f>
        <v>0</v>
      </c>
      <c r="N7" s="21">
        <f>IF(D7="Y",MAX(0,K7-Setup!$A$8),0)</f>
        <v>0</v>
      </c>
      <c r="O7" s="4" t="s">
        <v>115</v>
      </c>
      <c r="P7" s="4" t="s">
        <v>137</v>
      </c>
      <c r="Q7" s="4">
        <v>59</v>
      </c>
      <c r="R7" s="4" t="s">
        <v>56</v>
      </c>
      <c r="S7" s="4" t="s">
        <v>57</v>
      </c>
      <c r="T7" s="4"/>
      <c r="U7" s="5">
        <v>0</v>
      </c>
      <c r="V7" s="5">
        <v>0</v>
      </c>
      <c r="W7" s="5">
        <v>48958.559999999998</v>
      </c>
      <c r="X7" s="5">
        <v>46451.520000000004</v>
      </c>
      <c r="Y7" s="5">
        <v>63863.63</v>
      </c>
    </row>
    <row r="8" spans="1:25" x14ac:dyDescent="0.25">
      <c r="A8" s="10" t="str">
        <f t="shared" si="0"/>
        <v>A00000002</v>
      </c>
      <c r="B8" s="10" t="str">
        <f t="shared" si="1"/>
        <v>Benjamin A. Foster</v>
      </c>
      <c r="C8" s="10">
        <f t="shared" si="2"/>
        <v>59</v>
      </c>
      <c r="D8" s="10" t="str">
        <f>IF(AND(Y8&gt;=Setup!$A$9,C8&gt;=Setup!$A$10),"Y","N")</f>
        <v>N</v>
      </c>
      <c r="E8" s="21">
        <f>IF(COUNTIF(Setup!A:A, R8) &gt; 0, U8, 0)</f>
        <v>0</v>
      </c>
      <c r="F8" s="22">
        <f>IF(COUNTIF(Setup!D:D, R8) &gt; 0, U8, 0)</f>
        <v>0</v>
      </c>
      <c r="G8" s="21">
        <f>IF(COUNTIF(Setup!G:G, R8) &gt; 0, U8, 0)</f>
        <v>0</v>
      </c>
      <c r="H8" s="22">
        <f>IF(COUNTIF(Setup!J:J, R8) &gt; 0, U8, 0)</f>
        <v>0</v>
      </c>
      <c r="I8" s="21">
        <f t="shared" si="3"/>
        <v>0</v>
      </c>
      <c r="J8" s="22">
        <f t="shared" si="4"/>
        <v>0</v>
      </c>
      <c r="K8" s="21">
        <f t="shared" si="5"/>
        <v>0</v>
      </c>
      <c r="L8" s="22">
        <f t="shared" si="6"/>
        <v>0</v>
      </c>
      <c r="M8" s="21">
        <f>IF(D8="Y",MAX(0,I8-Setup!$A$8),0)</f>
        <v>0</v>
      </c>
      <c r="N8" s="21">
        <f>IF(D8="Y",MAX(0,K8-Setup!$A$8),0)</f>
        <v>0</v>
      </c>
      <c r="O8" s="4" t="s">
        <v>114</v>
      </c>
      <c r="P8" s="4" t="s">
        <v>114</v>
      </c>
      <c r="Q8" s="4"/>
      <c r="R8" s="4" t="s">
        <v>52</v>
      </c>
      <c r="S8" s="4" t="s">
        <v>53</v>
      </c>
      <c r="T8" s="4"/>
      <c r="U8" s="5">
        <v>396.54</v>
      </c>
      <c r="V8" s="5">
        <v>0</v>
      </c>
      <c r="W8" s="5">
        <v>48958.559999999998</v>
      </c>
      <c r="X8" s="5">
        <v>46451.520000000004</v>
      </c>
      <c r="Y8" s="5">
        <v>63863.63</v>
      </c>
    </row>
    <row r="9" spans="1:25" x14ac:dyDescent="0.25">
      <c r="A9" s="10" t="str">
        <f t="shared" si="0"/>
        <v>A00000002</v>
      </c>
      <c r="B9" s="10" t="str">
        <f t="shared" si="1"/>
        <v>Benjamin A. Foster</v>
      </c>
      <c r="C9" s="10">
        <f t="shared" si="2"/>
        <v>59</v>
      </c>
      <c r="D9" s="10" t="str">
        <f>IF(AND(Y9&gt;=Setup!$A$9,C9&gt;=Setup!$A$10),"Y","N")</f>
        <v>N</v>
      </c>
      <c r="E9" s="21">
        <f>IF(COUNTIF(Setup!A:A, R9) &gt; 0, U9, 0)</f>
        <v>0</v>
      </c>
      <c r="F9" s="22">
        <f>IF(COUNTIF(Setup!D:D, R9) &gt; 0, U9, 0)</f>
        <v>0</v>
      </c>
      <c r="G9" s="21">
        <f>IF(COUNTIF(Setup!G:G, R9) &gt; 0, U9, 0)</f>
        <v>0</v>
      </c>
      <c r="H9" s="22">
        <f>IF(COUNTIF(Setup!J:J, R9) &gt; 0, U9, 0)</f>
        <v>0</v>
      </c>
      <c r="I9" s="21">
        <f t="shared" si="3"/>
        <v>0</v>
      </c>
      <c r="J9" s="22">
        <f t="shared" si="4"/>
        <v>0</v>
      </c>
      <c r="K9" s="21">
        <f t="shared" si="5"/>
        <v>0</v>
      </c>
      <c r="L9" s="22">
        <f t="shared" si="6"/>
        <v>0</v>
      </c>
      <c r="M9" s="21">
        <f>IF(D9="Y",MAX(0,I9-Setup!$A$8),0)</f>
        <v>0</v>
      </c>
      <c r="N9" s="21">
        <f>IF(D9="Y",MAX(0,K9-Setup!$A$8),0)</f>
        <v>0</v>
      </c>
      <c r="O9" s="4" t="s">
        <v>114</v>
      </c>
      <c r="P9" s="4" t="s">
        <v>114</v>
      </c>
      <c r="Q9" s="4"/>
      <c r="R9" s="4" t="s">
        <v>54</v>
      </c>
      <c r="S9" s="4" t="s">
        <v>55</v>
      </c>
      <c r="T9" s="4"/>
      <c r="U9" s="5">
        <v>0</v>
      </c>
      <c r="V9" s="5">
        <v>1633.59</v>
      </c>
      <c r="W9" s="5">
        <v>48958.559999999998</v>
      </c>
      <c r="X9" s="5">
        <v>46451.520000000004</v>
      </c>
      <c r="Y9" s="5">
        <v>63863.63</v>
      </c>
    </row>
    <row r="10" spans="1:25" x14ac:dyDescent="0.25">
      <c r="A10" s="10" t="str">
        <f t="shared" si="0"/>
        <v>A00000002</v>
      </c>
      <c r="B10" s="10" t="str">
        <f t="shared" si="1"/>
        <v>Benjamin A. Foster</v>
      </c>
      <c r="C10" s="10">
        <f t="shared" si="2"/>
        <v>59</v>
      </c>
      <c r="D10" s="10" t="str">
        <f>IF(AND(Y10&gt;=Setup!$A$9,C10&gt;=Setup!$A$10),"Y","N")</f>
        <v>N</v>
      </c>
      <c r="E10" s="21">
        <f>IF(COUNTIF(Setup!A:A, R10) &gt; 0, U10, 0)</f>
        <v>489.59999999999997</v>
      </c>
      <c r="F10" s="22">
        <f>IF(COUNTIF(Setup!D:D, R10) &gt; 0, U10, 0)</f>
        <v>0</v>
      </c>
      <c r="G10" s="21">
        <f>IF(COUNTIF(Setup!G:G, R10) &gt; 0, U10, 0)</f>
        <v>0</v>
      </c>
      <c r="H10" s="22">
        <f>IF(COUNTIF(Setup!J:J, R10) &gt; 0, U10, 0)</f>
        <v>0</v>
      </c>
      <c r="I10" s="21">
        <f t="shared" si="3"/>
        <v>0</v>
      </c>
      <c r="J10" s="22">
        <f t="shared" si="4"/>
        <v>0</v>
      </c>
      <c r="K10" s="21">
        <f t="shared" si="5"/>
        <v>0</v>
      </c>
      <c r="L10" s="22">
        <f t="shared" si="6"/>
        <v>0</v>
      </c>
      <c r="M10" s="21">
        <f>IF(D10="Y",MAX(0,I10-Setup!$A$8),0)</f>
        <v>0</v>
      </c>
      <c r="N10" s="21">
        <f>IF(D10="Y",MAX(0,K10-Setup!$A$8),0)</f>
        <v>0</v>
      </c>
      <c r="O10" s="4" t="s">
        <v>114</v>
      </c>
      <c r="P10" s="4" t="s">
        <v>114</v>
      </c>
      <c r="Q10" s="4"/>
      <c r="R10" s="4" t="s">
        <v>58</v>
      </c>
      <c r="S10" s="4" t="s">
        <v>59</v>
      </c>
      <c r="T10" s="4" t="s">
        <v>60</v>
      </c>
      <c r="U10" s="5">
        <v>489.59999999999997</v>
      </c>
      <c r="V10" s="5">
        <v>0</v>
      </c>
      <c r="W10" s="5">
        <v>48958.559999999998</v>
      </c>
      <c r="X10" s="5">
        <v>46451.520000000004</v>
      </c>
      <c r="Y10" s="5">
        <v>63863.63</v>
      </c>
    </row>
    <row r="11" spans="1:25" x14ac:dyDescent="0.25">
      <c r="A11" s="10" t="str">
        <f t="shared" si="0"/>
        <v>A00000003</v>
      </c>
      <c r="B11" s="10" t="str">
        <f t="shared" si="1"/>
        <v>Claire Elizabeth Monroe</v>
      </c>
      <c r="C11" s="10">
        <f t="shared" si="2"/>
        <v>57</v>
      </c>
      <c r="D11" s="10" t="str">
        <f>IF(AND(Y11&gt;=Setup!$A$9,C11&gt;=Setup!$A$10),"Y","N")</f>
        <v>Y</v>
      </c>
      <c r="E11" s="21">
        <f>IF(COUNTIF(Setup!A:A, R11) &gt; 0, U11, 0)</f>
        <v>0</v>
      </c>
      <c r="F11" s="22">
        <f>IF(COUNTIF(Setup!D:D, R11) &gt; 0, U11, 0)</f>
        <v>0</v>
      </c>
      <c r="G11" s="21">
        <f>IF(COUNTIF(Setup!G:G, R11) &gt; 0, U11, 0)</f>
        <v>0</v>
      </c>
      <c r="H11" s="22">
        <f>IF(COUNTIF(Setup!J:J, R11) &gt; 0, U11, 0)</f>
        <v>0</v>
      </c>
      <c r="I11" s="21">
        <f t="shared" si="3"/>
        <v>0</v>
      </c>
      <c r="J11" s="22">
        <f t="shared" si="4"/>
        <v>28733.24</v>
      </c>
      <c r="K11" s="21">
        <f t="shared" si="5"/>
        <v>26300</v>
      </c>
      <c r="L11" s="22">
        <f t="shared" si="6"/>
        <v>4373.84</v>
      </c>
      <c r="M11" s="21">
        <f>IF(D11="Y",MAX(0,I11-Setup!$A$8),0)</f>
        <v>0</v>
      </c>
      <c r="N11" s="21">
        <f>IF(D11="Y",MAX(0,K11-Setup!$A$8),0)</f>
        <v>1800</v>
      </c>
      <c r="O11" s="4" t="s">
        <v>116</v>
      </c>
      <c r="P11" s="4" t="s">
        <v>138</v>
      </c>
      <c r="Q11" s="4">
        <v>57</v>
      </c>
      <c r="R11" s="4" t="s">
        <v>63</v>
      </c>
      <c r="S11" s="4" t="s">
        <v>64</v>
      </c>
      <c r="T11" s="4" t="s">
        <v>81</v>
      </c>
      <c r="U11" s="5">
        <v>0</v>
      </c>
      <c r="V11" s="5">
        <v>5250.66</v>
      </c>
      <c r="W11" s="5">
        <v>221858.27999999997</v>
      </c>
      <c r="X11" s="5">
        <v>214802.88</v>
      </c>
      <c r="Y11" s="5">
        <v>176100</v>
      </c>
    </row>
    <row r="12" spans="1:25" x14ac:dyDescent="0.25">
      <c r="A12" s="10" t="str">
        <f t="shared" si="0"/>
        <v>A00000003</v>
      </c>
      <c r="B12" s="10" t="str">
        <f t="shared" si="1"/>
        <v>Claire Elizabeth Monroe</v>
      </c>
      <c r="C12" s="10">
        <f t="shared" si="2"/>
        <v>57</v>
      </c>
      <c r="D12" s="10" t="str">
        <f>IF(AND(Y12&gt;=Setup!$A$9,C12&gt;=Setup!$A$10),"Y","N")</f>
        <v>Y</v>
      </c>
      <c r="E12" s="21">
        <f>IF(COUNTIF(Setup!A:A, R12) &gt; 0, U12, 0)</f>
        <v>0</v>
      </c>
      <c r="F12" s="22">
        <f>IF(COUNTIF(Setup!D:D, R12) &gt; 0, U12, 0)</f>
        <v>0</v>
      </c>
      <c r="G12" s="21">
        <f>IF(COUNTIF(Setup!G:G, R12) &gt; 0, U12, 0)</f>
        <v>0</v>
      </c>
      <c r="H12" s="22">
        <f>IF(COUNTIF(Setup!J:J, R12) &gt; 0, U12, 0)</f>
        <v>4173.84</v>
      </c>
      <c r="I12" s="21">
        <f t="shared" si="3"/>
        <v>0</v>
      </c>
      <c r="J12" s="22">
        <f t="shared" si="4"/>
        <v>0</v>
      </c>
      <c r="K12" s="21">
        <f t="shared" si="5"/>
        <v>0</v>
      </c>
      <c r="L12" s="22">
        <f t="shared" si="6"/>
        <v>0</v>
      </c>
      <c r="M12" s="21">
        <f>IF(D12="Y",MAX(0,I12-Setup!$A$8),0)</f>
        <v>0</v>
      </c>
      <c r="N12" s="21">
        <f>IF(D12="Y",MAX(0,K12-Setup!$A$8),0)</f>
        <v>0</v>
      </c>
      <c r="O12" s="4" t="s">
        <v>114</v>
      </c>
      <c r="P12" s="4" t="s">
        <v>114</v>
      </c>
      <c r="Q12" s="4"/>
      <c r="R12" s="4" t="s">
        <v>82</v>
      </c>
      <c r="S12" s="4" t="s">
        <v>66</v>
      </c>
      <c r="T12" s="4" t="s">
        <v>60</v>
      </c>
      <c r="U12" s="5">
        <v>4173.84</v>
      </c>
      <c r="V12" s="5">
        <v>0</v>
      </c>
      <c r="W12" s="5">
        <v>148505.51999999999</v>
      </c>
      <c r="X12" s="5">
        <v>214802.88</v>
      </c>
      <c r="Y12" s="5">
        <v>176100</v>
      </c>
    </row>
    <row r="13" spans="1:25" x14ac:dyDescent="0.25">
      <c r="A13" s="10" t="str">
        <f t="shared" si="0"/>
        <v>A00000003</v>
      </c>
      <c r="B13" s="10" t="str">
        <f t="shared" si="1"/>
        <v>Claire Elizabeth Monroe</v>
      </c>
      <c r="C13" s="10">
        <f t="shared" si="2"/>
        <v>57</v>
      </c>
      <c r="D13" s="10" t="str">
        <f>IF(AND(Y13&gt;=Setup!$A$9,C13&gt;=Setup!$A$10),"Y","N")</f>
        <v>Y</v>
      </c>
      <c r="E13" s="21">
        <f>IF(COUNTIF(Setup!A:A, R13) &gt; 0, U13, 0)</f>
        <v>0</v>
      </c>
      <c r="F13" s="22">
        <f>IF(COUNTIF(Setup!D:D, R13) &gt; 0, U13, 0)</f>
        <v>0</v>
      </c>
      <c r="G13" s="21">
        <f>IF(COUNTIF(Setup!G:G, R13) &gt; 0, U13, 0)</f>
        <v>24500</v>
      </c>
      <c r="H13" s="22">
        <f>IF(COUNTIF(Setup!J:J, R13) &gt; 0, U13, 0)</f>
        <v>0</v>
      </c>
      <c r="I13" s="21">
        <f t="shared" si="3"/>
        <v>0</v>
      </c>
      <c r="J13" s="22">
        <f t="shared" si="4"/>
        <v>0</v>
      </c>
      <c r="K13" s="21">
        <f t="shared" si="5"/>
        <v>0</v>
      </c>
      <c r="L13" s="22">
        <f t="shared" si="6"/>
        <v>0</v>
      </c>
      <c r="M13" s="21">
        <f>IF(D13="Y",MAX(0,I13-Setup!$A$8),0)</f>
        <v>0</v>
      </c>
      <c r="N13" s="21">
        <f>IF(D13="Y",MAX(0,K13-Setup!$A$8),0)</f>
        <v>0</v>
      </c>
      <c r="O13" s="4" t="s">
        <v>114</v>
      </c>
      <c r="P13" s="4" t="s">
        <v>114</v>
      </c>
      <c r="Q13" s="4"/>
      <c r="R13" s="4" t="s">
        <v>83</v>
      </c>
      <c r="S13" s="4" t="s">
        <v>84</v>
      </c>
      <c r="T13" s="4" t="s">
        <v>60</v>
      </c>
      <c r="U13" s="5">
        <v>24500</v>
      </c>
      <c r="V13" s="5">
        <v>0</v>
      </c>
      <c r="W13" s="5">
        <v>256889.03999999998</v>
      </c>
      <c r="X13" s="5">
        <v>214802.88</v>
      </c>
      <c r="Y13" s="5">
        <v>176100</v>
      </c>
    </row>
    <row r="14" spans="1:25" x14ac:dyDescent="0.25">
      <c r="A14" s="10" t="str">
        <f t="shared" si="0"/>
        <v>A00000003</v>
      </c>
      <c r="B14" s="10" t="str">
        <f t="shared" si="1"/>
        <v>Claire Elizabeth Monroe</v>
      </c>
      <c r="C14" s="10">
        <f t="shared" si="2"/>
        <v>57</v>
      </c>
      <c r="D14" s="10" t="str">
        <f>IF(AND(Y14&gt;=Setup!$A$9,C14&gt;=Setup!$A$10),"Y","N")</f>
        <v>Y</v>
      </c>
      <c r="E14" s="21">
        <f>IF(COUNTIF(Setup!A:A, R14) &gt; 0, U14, 0)</f>
        <v>0</v>
      </c>
      <c r="F14" s="22">
        <f>IF(COUNTIF(Setup!D:D, R14) &gt; 0, U14, 0)</f>
        <v>26733.24</v>
      </c>
      <c r="G14" s="21">
        <f>IF(COUNTIF(Setup!G:G, R14) &gt; 0, U14, 0)</f>
        <v>0</v>
      </c>
      <c r="H14" s="22">
        <f>IF(COUNTIF(Setup!J:J, R14) &gt; 0, U14, 0)</f>
        <v>0</v>
      </c>
      <c r="I14" s="21">
        <f t="shared" si="3"/>
        <v>0</v>
      </c>
      <c r="J14" s="22">
        <f t="shared" si="4"/>
        <v>0</v>
      </c>
      <c r="K14" s="21">
        <f t="shared" si="5"/>
        <v>0</v>
      </c>
      <c r="L14" s="22">
        <f t="shared" si="6"/>
        <v>0</v>
      </c>
      <c r="M14" s="21">
        <f>IF(D14="Y",MAX(0,I14-Setup!$A$8),0)</f>
        <v>0</v>
      </c>
      <c r="N14" s="21">
        <f>IF(D14="Y",MAX(0,K14-Setup!$A$8),0)</f>
        <v>0</v>
      </c>
      <c r="O14" s="4" t="s">
        <v>114</v>
      </c>
      <c r="P14" s="4" t="s">
        <v>114</v>
      </c>
      <c r="Q14" s="4"/>
      <c r="R14" s="4" t="s">
        <v>85</v>
      </c>
      <c r="S14" s="4" t="s">
        <v>86</v>
      </c>
      <c r="T14" s="4" t="s">
        <v>60</v>
      </c>
      <c r="U14" s="5">
        <v>26733.24</v>
      </c>
      <c r="V14" s="5">
        <v>0</v>
      </c>
      <c r="W14" s="5">
        <v>256889.03999999998</v>
      </c>
      <c r="X14" s="5">
        <v>214802.88</v>
      </c>
      <c r="Y14" s="5">
        <v>176100</v>
      </c>
    </row>
    <row r="15" spans="1:25" x14ac:dyDescent="0.25">
      <c r="A15" s="10" t="str">
        <f t="shared" si="0"/>
        <v>A00000004</v>
      </c>
      <c r="B15" s="10" t="str">
        <f t="shared" si="1"/>
        <v>Daniel R. Holloway</v>
      </c>
      <c r="C15" s="10">
        <f t="shared" si="2"/>
        <v>53</v>
      </c>
      <c r="D15" s="10" t="str">
        <f>IF(AND(Y15&gt;=Setup!$A$9,C15&gt;=Setup!$A$10),"Y","N")</f>
        <v>N</v>
      </c>
      <c r="E15" s="21">
        <f>IF(COUNTIF(Setup!A:A, R15) &gt; 0, U15, 0)</f>
        <v>0</v>
      </c>
      <c r="F15" s="22">
        <f>IF(COUNTIF(Setup!D:D, R15) &gt; 0, U15, 0)</f>
        <v>0</v>
      </c>
      <c r="G15" s="21">
        <f>IF(COUNTIF(Setup!G:G, R15) &gt; 0, U15, 0)</f>
        <v>0</v>
      </c>
      <c r="H15" s="22">
        <f>IF(COUNTIF(Setup!J:J, R15) &gt; 0, U15, 0)</f>
        <v>0</v>
      </c>
      <c r="I15" s="21">
        <f t="shared" si="3"/>
        <v>2295.7599999999998</v>
      </c>
      <c r="J15" s="22">
        <f t="shared" si="4"/>
        <v>750</v>
      </c>
      <c r="K15" s="21">
        <f t="shared" si="5"/>
        <v>0</v>
      </c>
      <c r="L15" s="22">
        <f t="shared" si="6"/>
        <v>0</v>
      </c>
      <c r="M15" s="21">
        <f>IF(D15="Y",MAX(0,I15-Setup!$A$8),0)</f>
        <v>0</v>
      </c>
      <c r="N15" s="21">
        <f>IF(D15="Y",MAX(0,K15-Setup!$A$8),0)</f>
        <v>0</v>
      </c>
      <c r="O15" s="4" t="s">
        <v>117</v>
      </c>
      <c r="P15" s="4" t="s">
        <v>139</v>
      </c>
      <c r="Q15" s="4">
        <v>53</v>
      </c>
      <c r="R15" s="4" t="s">
        <v>63</v>
      </c>
      <c r="S15" s="4" t="s">
        <v>64</v>
      </c>
      <c r="T15" s="4" t="s">
        <v>81</v>
      </c>
      <c r="U15" s="5">
        <v>0</v>
      </c>
      <c r="V15" s="5">
        <v>299.10000000000002</v>
      </c>
      <c r="W15" s="5">
        <v>63190.44</v>
      </c>
      <c r="X15" s="5">
        <v>57253.319999999992</v>
      </c>
      <c r="Y15" s="5">
        <v>82002.66</v>
      </c>
    </row>
    <row r="16" spans="1:25" x14ac:dyDescent="0.25">
      <c r="A16" s="10" t="str">
        <f t="shared" si="0"/>
        <v>A00000004</v>
      </c>
      <c r="B16" s="10" t="str">
        <f t="shared" si="1"/>
        <v>Daniel R. Holloway</v>
      </c>
      <c r="C16" s="10">
        <f t="shared" si="2"/>
        <v>53</v>
      </c>
      <c r="D16" s="10" t="str">
        <f>IF(AND(Y16&gt;=Setup!$A$9,C16&gt;=Setup!$A$10),"Y","N")</f>
        <v>N</v>
      </c>
      <c r="E16" s="21">
        <f>IF(COUNTIF(Setup!A:A, R16) &gt; 0, U16, 0)</f>
        <v>0</v>
      </c>
      <c r="F16" s="22">
        <f>IF(COUNTIF(Setup!D:D, R16) &gt; 0, U16, 0)</f>
        <v>450</v>
      </c>
      <c r="G16" s="21">
        <f>IF(COUNTIF(Setup!G:G, R16) &gt; 0, U16, 0)</f>
        <v>0</v>
      </c>
      <c r="H16" s="22">
        <f>IF(COUNTIF(Setup!J:J, R16) &gt; 0, U16, 0)</f>
        <v>0</v>
      </c>
      <c r="I16" s="21">
        <f t="shared" si="3"/>
        <v>0</v>
      </c>
      <c r="J16" s="22">
        <f t="shared" si="4"/>
        <v>0</v>
      </c>
      <c r="K16" s="21">
        <f t="shared" si="5"/>
        <v>0</v>
      </c>
      <c r="L16" s="22">
        <f t="shared" si="6"/>
        <v>0</v>
      </c>
      <c r="M16" s="21">
        <f>IF(D16="Y",MAX(0,I16-Setup!$A$8),0)</f>
        <v>0</v>
      </c>
      <c r="N16" s="21">
        <f>IF(D16="Y",MAX(0,K16-Setup!$A$8),0)</f>
        <v>0</v>
      </c>
      <c r="O16" s="4" t="s">
        <v>114</v>
      </c>
      <c r="P16" s="4" t="s">
        <v>114</v>
      </c>
      <c r="Q16" s="4"/>
      <c r="R16" s="4" t="s">
        <v>88</v>
      </c>
      <c r="S16" s="4" t="s">
        <v>89</v>
      </c>
      <c r="T16" s="4" t="s">
        <v>60</v>
      </c>
      <c r="U16" s="5">
        <v>450</v>
      </c>
      <c r="V16" s="5">
        <v>0</v>
      </c>
      <c r="W16" s="5">
        <v>65134.680000000008</v>
      </c>
      <c r="X16" s="5">
        <v>57253.319999999992</v>
      </c>
      <c r="Y16" s="5">
        <v>82002.66</v>
      </c>
    </row>
    <row r="17" spans="1:25" x14ac:dyDescent="0.25">
      <c r="A17" s="10" t="str">
        <f t="shared" si="0"/>
        <v>A00000004</v>
      </c>
      <c r="B17" s="10" t="str">
        <f t="shared" si="1"/>
        <v>Daniel R. Holloway</v>
      </c>
      <c r="C17" s="10">
        <f t="shared" si="2"/>
        <v>53</v>
      </c>
      <c r="D17" s="10" t="str">
        <f>IF(AND(Y17&gt;=Setup!$A$9,C17&gt;=Setup!$A$10),"Y","N")</f>
        <v>N</v>
      </c>
      <c r="E17" s="21">
        <f>IF(COUNTIF(Setup!A:A, R17) &gt; 0, U17, 0)</f>
        <v>0</v>
      </c>
      <c r="F17" s="22">
        <f>IF(COUNTIF(Setup!D:D, R17) &gt; 0, U17, 0)</f>
        <v>0</v>
      </c>
      <c r="G17" s="21">
        <f>IF(COUNTIF(Setup!G:G, R17) &gt; 0, U17, 0)</f>
        <v>0</v>
      </c>
      <c r="H17" s="22">
        <f>IF(COUNTIF(Setup!J:J, R17) &gt; 0, U17, 0)</f>
        <v>0</v>
      </c>
      <c r="I17" s="21">
        <f t="shared" si="3"/>
        <v>0</v>
      </c>
      <c r="J17" s="22">
        <f t="shared" si="4"/>
        <v>0</v>
      </c>
      <c r="K17" s="21">
        <f t="shared" si="5"/>
        <v>0</v>
      </c>
      <c r="L17" s="22">
        <f t="shared" si="6"/>
        <v>0</v>
      </c>
      <c r="M17" s="21">
        <f>IF(D17="Y",MAX(0,I17-Setup!$A$8),0)</f>
        <v>0</v>
      </c>
      <c r="N17" s="21">
        <f>IF(D17="Y",MAX(0,K17-Setup!$A$8),0)</f>
        <v>0</v>
      </c>
      <c r="O17" s="4" t="s">
        <v>114</v>
      </c>
      <c r="P17" s="4" t="s">
        <v>114</v>
      </c>
      <c r="Q17" s="4"/>
      <c r="R17" s="4" t="s">
        <v>67</v>
      </c>
      <c r="S17" s="4" t="s">
        <v>68</v>
      </c>
      <c r="T17" s="4" t="s">
        <v>81</v>
      </c>
      <c r="U17" s="5">
        <v>0</v>
      </c>
      <c r="V17" s="5">
        <v>1196.4000000000001</v>
      </c>
      <c r="W17" s="5">
        <v>63190.44</v>
      </c>
      <c r="X17" s="5">
        <v>57253.319999999992</v>
      </c>
      <c r="Y17" s="5">
        <v>82002.66</v>
      </c>
    </row>
    <row r="18" spans="1:25" x14ac:dyDescent="0.25">
      <c r="A18" s="10" t="str">
        <f t="shared" si="0"/>
        <v>A00000004</v>
      </c>
      <c r="B18" s="10" t="str">
        <f t="shared" si="1"/>
        <v>Daniel R. Holloway</v>
      </c>
      <c r="C18" s="10">
        <f t="shared" si="2"/>
        <v>53</v>
      </c>
      <c r="D18" s="10" t="str">
        <f>IF(AND(Y18&gt;=Setup!$A$9,C18&gt;=Setup!$A$10),"Y","N")</f>
        <v>N</v>
      </c>
      <c r="E18" s="21">
        <f>IF(COUNTIF(Setup!A:A, R18) &gt; 0, U18, 0)</f>
        <v>1895.7599999999998</v>
      </c>
      <c r="F18" s="22">
        <f>IF(COUNTIF(Setup!D:D, R18) &gt; 0, U18, 0)</f>
        <v>0</v>
      </c>
      <c r="G18" s="21">
        <f>IF(COUNTIF(Setup!G:G, R18) &gt; 0, U18, 0)</f>
        <v>0</v>
      </c>
      <c r="H18" s="22">
        <f>IF(COUNTIF(Setup!J:J, R18) &gt; 0, U18, 0)</f>
        <v>0</v>
      </c>
      <c r="I18" s="21">
        <f t="shared" si="3"/>
        <v>0</v>
      </c>
      <c r="J18" s="22">
        <f t="shared" si="4"/>
        <v>0</v>
      </c>
      <c r="K18" s="21">
        <f t="shared" si="5"/>
        <v>0</v>
      </c>
      <c r="L18" s="22">
        <f t="shared" si="6"/>
        <v>0</v>
      </c>
      <c r="M18" s="21">
        <f>IF(D18="Y",MAX(0,I18-Setup!$A$8),0)</f>
        <v>0</v>
      </c>
      <c r="N18" s="21">
        <f>IF(D18="Y",MAX(0,K18-Setup!$A$8),0)</f>
        <v>0</v>
      </c>
      <c r="O18" s="4" t="s">
        <v>114</v>
      </c>
      <c r="P18" s="4" t="s">
        <v>114</v>
      </c>
      <c r="Q18" s="4"/>
      <c r="R18" s="4" t="s">
        <v>58</v>
      </c>
      <c r="S18" s="4" t="s">
        <v>59</v>
      </c>
      <c r="T18" s="4" t="s">
        <v>60</v>
      </c>
      <c r="U18" s="5">
        <v>1895.7599999999998</v>
      </c>
      <c r="V18" s="5">
        <v>0</v>
      </c>
      <c r="W18" s="5">
        <v>63190.44</v>
      </c>
      <c r="X18" s="5">
        <v>57253.319999999992</v>
      </c>
      <c r="Y18" s="5">
        <v>82002.66</v>
      </c>
    </row>
    <row r="19" spans="1:25" x14ac:dyDescent="0.25">
      <c r="A19" s="10" t="str">
        <f t="shared" si="0"/>
        <v>A00000005</v>
      </c>
      <c r="B19" s="10" t="str">
        <f t="shared" si="1"/>
        <v>Emily J. Harrington</v>
      </c>
      <c r="C19" s="10">
        <f t="shared" si="2"/>
        <v>54</v>
      </c>
      <c r="D19" s="10" t="str">
        <f>IF(AND(Y19&gt;=Setup!$A$9,C19&gt;=Setup!$A$10),"Y","N")</f>
        <v>Y</v>
      </c>
      <c r="E19" s="21">
        <f>IF(COUNTIF(Setup!A:A, R19) &gt; 0, U19, 0)</f>
        <v>0</v>
      </c>
      <c r="F19" s="22">
        <f>IF(COUNTIF(Setup!D:D, R19) &gt; 0, U19, 0)</f>
        <v>0</v>
      </c>
      <c r="G19" s="21">
        <f>IF(COUNTIF(Setup!G:G, R19) &gt; 0, U19, 0)</f>
        <v>0</v>
      </c>
      <c r="H19" s="22">
        <f>IF(COUNTIF(Setup!J:J, R19) &gt; 0, U19, 0)</f>
        <v>0</v>
      </c>
      <c r="I19" s="21">
        <f t="shared" si="3"/>
        <v>3663</v>
      </c>
      <c r="J19" s="22">
        <f t="shared" si="4"/>
        <v>4500</v>
      </c>
      <c r="K19" s="21">
        <f t="shared" si="5"/>
        <v>4500</v>
      </c>
      <c r="L19" s="22">
        <f t="shared" si="6"/>
        <v>900</v>
      </c>
      <c r="M19" s="21">
        <f>IF(D19="Y",MAX(0,I19-Setup!$A$8),0)</f>
        <v>0</v>
      </c>
      <c r="N19" s="21">
        <f>IF(D19="Y",MAX(0,K19-Setup!$A$8),0)</f>
        <v>0</v>
      </c>
      <c r="O19" s="4" t="s">
        <v>118</v>
      </c>
      <c r="P19" s="4" t="s">
        <v>140</v>
      </c>
      <c r="Q19" s="4">
        <v>54</v>
      </c>
      <c r="R19" s="4" t="s">
        <v>67</v>
      </c>
      <c r="S19" s="4" t="s">
        <v>68</v>
      </c>
      <c r="T19" s="4" t="s">
        <v>81</v>
      </c>
      <c r="U19" s="5">
        <v>0</v>
      </c>
      <c r="V19" s="5">
        <v>2600.73</v>
      </c>
      <c r="W19" s="5">
        <v>122099.94</v>
      </c>
      <c r="X19" s="5">
        <v>122125.38</v>
      </c>
      <c r="Y19" s="5">
        <v>167802.86</v>
      </c>
    </row>
    <row r="20" spans="1:25" x14ac:dyDescent="0.25">
      <c r="A20" s="10" t="str">
        <f t="shared" si="0"/>
        <v>A00000005</v>
      </c>
      <c r="B20" s="10" t="str">
        <f t="shared" si="1"/>
        <v>Emily J. Harrington</v>
      </c>
      <c r="C20" s="10">
        <f t="shared" si="2"/>
        <v>54</v>
      </c>
      <c r="D20" s="10" t="str">
        <f>IF(AND(Y20&gt;=Setup!$A$9,C20&gt;=Setup!$A$10),"Y","N")</f>
        <v>Y</v>
      </c>
      <c r="E20" s="21">
        <f>IF(COUNTIF(Setup!A:A, R20) &gt; 0, U20, 0)</f>
        <v>0</v>
      </c>
      <c r="F20" s="22">
        <f>IF(COUNTIF(Setup!D:D, R20) &gt; 0, U20, 0)</f>
        <v>0</v>
      </c>
      <c r="G20" s="21">
        <f>IF(COUNTIF(Setup!G:G, R20) &gt; 0, U20, 0)</f>
        <v>0</v>
      </c>
      <c r="H20" s="22">
        <f>IF(COUNTIF(Setup!J:J, R20) &gt; 0, U20, 0)</f>
        <v>900</v>
      </c>
      <c r="I20" s="21">
        <f t="shared" si="3"/>
        <v>0</v>
      </c>
      <c r="J20" s="22">
        <f t="shared" si="4"/>
        <v>0</v>
      </c>
      <c r="K20" s="21">
        <f t="shared" si="5"/>
        <v>0</v>
      </c>
      <c r="L20" s="22">
        <f t="shared" si="6"/>
        <v>0</v>
      </c>
      <c r="M20" s="21">
        <f>IF(D20="Y",MAX(0,I20-Setup!$A$8),0)</f>
        <v>0</v>
      </c>
      <c r="N20" s="21">
        <f>IF(D20="Y",MAX(0,K20-Setup!$A$8),0)</f>
        <v>0</v>
      </c>
      <c r="O20" s="4" t="s">
        <v>114</v>
      </c>
      <c r="P20" s="4" t="s">
        <v>114</v>
      </c>
      <c r="Q20" s="4"/>
      <c r="R20" s="4" t="s">
        <v>92</v>
      </c>
      <c r="S20" s="4" t="s">
        <v>93</v>
      </c>
      <c r="T20" s="4" t="s">
        <v>60</v>
      </c>
      <c r="U20" s="5">
        <v>900</v>
      </c>
      <c r="V20" s="5">
        <v>0</v>
      </c>
      <c r="W20" s="5">
        <v>122099.94</v>
      </c>
      <c r="X20" s="5">
        <v>122125.38</v>
      </c>
      <c r="Y20" s="5">
        <v>167802.86</v>
      </c>
    </row>
    <row r="21" spans="1:25" x14ac:dyDescent="0.25">
      <c r="A21" s="10" t="str">
        <f t="shared" si="0"/>
        <v>A00000005</v>
      </c>
      <c r="B21" s="10" t="str">
        <f t="shared" si="1"/>
        <v>Emily J. Harrington</v>
      </c>
      <c r="C21" s="10">
        <f t="shared" si="2"/>
        <v>54</v>
      </c>
      <c r="D21" s="10" t="str">
        <f>IF(AND(Y21&gt;=Setup!$A$9,C21&gt;=Setup!$A$10),"Y","N")</f>
        <v>Y</v>
      </c>
      <c r="E21" s="21">
        <f>IF(COUNTIF(Setup!A:A, R21) &gt; 0, U21, 0)</f>
        <v>3663</v>
      </c>
      <c r="F21" s="22">
        <f>IF(COUNTIF(Setup!D:D, R21) &gt; 0, U21, 0)</f>
        <v>0</v>
      </c>
      <c r="G21" s="21">
        <f>IF(COUNTIF(Setup!G:G, R21) &gt; 0, U21, 0)</f>
        <v>0</v>
      </c>
      <c r="H21" s="22">
        <f>IF(COUNTIF(Setup!J:J, R21) &gt; 0, U21, 0)</f>
        <v>0</v>
      </c>
      <c r="I21" s="21">
        <f t="shared" si="3"/>
        <v>0</v>
      </c>
      <c r="J21" s="22">
        <f t="shared" si="4"/>
        <v>0</v>
      </c>
      <c r="K21" s="21">
        <f t="shared" si="5"/>
        <v>0</v>
      </c>
      <c r="L21" s="22">
        <f t="shared" si="6"/>
        <v>0</v>
      </c>
      <c r="M21" s="21">
        <f>IF(D21="Y",MAX(0,I21-Setup!$A$8),0)</f>
        <v>0</v>
      </c>
      <c r="N21" s="21">
        <f>IF(D21="Y",MAX(0,K21-Setup!$A$8),0)</f>
        <v>0</v>
      </c>
      <c r="O21" s="4" t="s">
        <v>114</v>
      </c>
      <c r="P21" s="4" t="s">
        <v>114</v>
      </c>
      <c r="Q21" s="4"/>
      <c r="R21" s="4" t="s">
        <v>58</v>
      </c>
      <c r="S21" s="4" t="s">
        <v>59</v>
      </c>
      <c r="T21" s="4" t="s">
        <v>60</v>
      </c>
      <c r="U21" s="5">
        <v>3663</v>
      </c>
      <c r="V21" s="5">
        <v>0</v>
      </c>
      <c r="W21" s="5">
        <v>122099.94</v>
      </c>
      <c r="X21" s="5">
        <v>122125.38</v>
      </c>
      <c r="Y21" s="5">
        <v>167802.86</v>
      </c>
    </row>
    <row r="22" spans="1:25" x14ac:dyDescent="0.25">
      <c r="A22" s="10" t="str">
        <f t="shared" si="0"/>
        <v>A00000005</v>
      </c>
      <c r="B22" s="10" t="str">
        <f t="shared" si="1"/>
        <v>Emily J. Harrington</v>
      </c>
      <c r="C22" s="10">
        <f t="shared" si="2"/>
        <v>54</v>
      </c>
      <c r="D22" s="10" t="str">
        <f>IF(AND(Y22&gt;=Setup!$A$9,C22&gt;=Setup!$A$10),"Y","N")</f>
        <v>Y</v>
      </c>
      <c r="E22" s="21">
        <f>IF(COUNTIF(Setup!A:A, R22) &gt; 0, U22, 0)</f>
        <v>0</v>
      </c>
      <c r="F22" s="22">
        <f>IF(COUNTIF(Setup!D:D, R22) &gt; 0, U22, 0)</f>
        <v>4500</v>
      </c>
      <c r="G22" s="21">
        <f>IF(COUNTIF(Setup!G:G, R22) &gt; 0, U22, 0)</f>
        <v>0</v>
      </c>
      <c r="H22" s="22">
        <f>IF(COUNTIF(Setup!J:J, R22) &gt; 0, U22, 0)</f>
        <v>0</v>
      </c>
      <c r="I22" s="21">
        <f t="shared" si="3"/>
        <v>0</v>
      </c>
      <c r="J22" s="22">
        <f t="shared" si="4"/>
        <v>0</v>
      </c>
      <c r="K22" s="21">
        <f t="shared" si="5"/>
        <v>0</v>
      </c>
      <c r="L22" s="22">
        <f t="shared" si="6"/>
        <v>0</v>
      </c>
      <c r="M22" s="21">
        <f>IF(D22="Y",MAX(0,I22-Setup!$A$8),0)</f>
        <v>0</v>
      </c>
      <c r="N22" s="21">
        <f>IF(D22="Y",MAX(0,K22-Setup!$A$8),0)</f>
        <v>0</v>
      </c>
      <c r="O22" s="4" t="s">
        <v>114</v>
      </c>
      <c r="P22" s="4" t="s">
        <v>114</v>
      </c>
      <c r="Q22" s="4"/>
      <c r="R22" s="4" t="s">
        <v>88</v>
      </c>
      <c r="S22" s="4" t="s">
        <v>89</v>
      </c>
      <c r="T22" s="4" t="s">
        <v>60</v>
      </c>
      <c r="U22" s="5">
        <v>4500</v>
      </c>
      <c r="V22" s="5">
        <v>0</v>
      </c>
      <c r="W22" s="5">
        <v>122099.94</v>
      </c>
      <c r="X22" s="5">
        <v>122125.38</v>
      </c>
      <c r="Y22" s="5">
        <v>167802.86</v>
      </c>
    </row>
    <row r="23" spans="1:25" x14ac:dyDescent="0.25">
      <c r="A23" s="10" t="str">
        <f t="shared" si="0"/>
        <v>A00000005</v>
      </c>
      <c r="B23" s="10" t="str">
        <f t="shared" si="1"/>
        <v>Emily J. Harrington</v>
      </c>
      <c r="C23" s="10">
        <f t="shared" si="2"/>
        <v>54</v>
      </c>
      <c r="D23" s="10" t="str">
        <f>IF(AND(Y23&gt;=Setup!$A$9,C23&gt;=Setup!$A$10),"Y","N")</f>
        <v>Y</v>
      </c>
      <c r="E23" s="21">
        <f>IF(COUNTIF(Setup!A:A, R23) &gt; 0, U23, 0)</f>
        <v>0</v>
      </c>
      <c r="F23" s="22">
        <f>IF(COUNTIF(Setup!D:D, R23) &gt; 0, U23, 0)</f>
        <v>0</v>
      </c>
      <c r="G23" s="21">
        <f>IF(COUNTIF(Setup!G:G, R23) &gt; 0, U23, 0)</f>
        <v>4500</v>
      </c>
      <c r="H23" s="22">
        <f>IF(COUNTIF(Setup!J:J, R23) &gt; 0, U23, 0)</f>
        <v>0</v>
      </c>
      <c r="I23" s="21">
        <f t="shared" si="3"/>
        <v>0</v>
      </c>
      <c r="J23" s="22">
        <f t="shared" si="4"/>
        <v>0</v>
      </c>
      <c r="K23" s="21">
        <f t="shared" si="5"/>
        <v>0</v>
      </c>
      <c r="L23" s="22">
        <f t="shared" si="6"/>
        <v>0</v>
      </c>
      <c r="M23" s="21">
        <f>IF(D23="Y",MAX(0,I23-Setup!$A$8),0)</f>
        <v>0</v>
      </c>
      <c r="N23" s="21">
        <f>IF(D23="Y",MAX(0,K23-Setup!$A$8),0)</f>
        <v>0</v>
      </c>
      <c r="O23" s="4" t="s">
        <v>114</v>
      </c>
      <c r="P23" s="4" t="s">
        <v>114</v>
      </c>
      <c r="Q23" s="4"/>
      <c r="R23" s="4" t="s">
        <v>90</v>
      </c>
      <c r="S23" s="4" t="s">
        <v>91</v>
      </c>
      <c r="T23" s="4" t="s">
        <v>60</v>
      </c>
      <c r="U23" s="5">
        <v>4500</v>
      </c>
      <c r="V23" s="5">
        <v>0</v>
      </c>
      <c r="W23" s="5">
        <v>122099.94</v>
      </c>
      <c r="X23" s="5">
        <v>122125.38</v>
      </c>
      <c r="Y23" s="5">
        <v>167802.86</v>
      </c>
    </row>
    <row r="24" spans="1:25" x14ac:dyDescent="0.25">
      <c r="A24" s="10" t="str">
        <f t="shared" si="0"/>
        <v>A00000005</v>
      </c>
      <c r="B24" s="10" t="str">
        <f t="shared" si="1"/>
        <v>Emily J. Harrington</v>
      </c>
      <c r="C24" s="10">
        <f t="shared" si="2"/>
        <v>54</v>
      </c>
      <c r="D24" s="10" t="str">
        <f>IF(AND(Y24&gt;=Setup!$A$9,C24&gt;=Setup!$A$10),"Y","N")</f>
        <v>Y</v>
      </c>
      <c r="E24" s="21">
        <f>IF(COUNTIF(Setup!A:A, R24) &gt; 0, U24, 0)</f>
        <v>0</v>
      </c>
      <c r="F24" s="22">
        <f>IF(COUNTIF(Setup!D:D, R24) &gt; 0, U24, 0)</f>
        <v>0</v>
      </c>
      <c r="G24" s="21">
        <f>IF(COUNTIF(Setup!G:G, R24) &gt; 0, U24, 0)</f>
        <v>0</v>
      </c>
      <c r="H24" s="22">
        <f>IF(COUNTIF(Setup!J:J, R24) &gt; 0, U24, 0)</f>
        <v>0</v>
      </c>
      <c r="I24" s="21">
        <f t="shared" si="3"/>
        <v>0</v>
      </c>
      <c r="J24" s="22">
        <f t="shared" si="4"/>
        <v>0</v>
      </c>
      <c r="K24" s="21">
        <f t="shared" si="5"/>
        <v>0</v>
      </c>
      <c r="L24" s="22">
        <f t="shared" si="6"/>
        <v>0</v>
      </c>
      <c r="M24" s="21">
        <f>IF(D24="Y",MAX(0,I24-Setup!$A$8),0)</f>
        <v>0</v>
      </c>
      <c r="N24" s="21">
        <f>IF(D24="Y",MAX(0,K24-Setup!$A$8),0)</f>
        <v>0</v>
      </c>
      <c r="O24" s="4" t="s">
        <v>114</v>
      </c>
      <c r="P24" s="4" t="s">
        <v>114</v>
      </c>
      <c r="Q24" s="4"/>
      <c r="R24" s="4" t="s">
        <v>63</v>
      </c>
      <c r="S24" s="4" t="s">
        <v>64</v>
      </c>
      <c r="T24" s="4" t="s">
        <v>81</v>
      </c>
      <c r="U24" s="5">
        <v>0</v>
      </c>
      <c r="V24" s="5">
        <v>288.95999999999998</v>
      </c>
      <c r="W24" s="5">
        <v>122099.94</v>
      </c>
      <c r="X24" s="5">
        <v>122125.38</v>
      </c>
      <c r="Y24" s="5">
        <v>167802.86</v>
      </c>
    </row>
    <row r="25" spans="1:25" x14ac:dyDescent="0.25">
      <c r="A25" s="10" t="str">
        <f t="shared" si="0"/>
        <v>A00000006</v>
      </c>
      <c r="B25" s="10" t="str">
        <f t="shared" si="1"/>
        <v>Hannah Lowell Reed</v>
      </c>
      <c r="C25" s="10">
        <f t="shared" si="2"/>
        <v>53</v>
      </c>
      <c r="D25" s="10" t="str">
        <f>IF(AND(Y25&gt;=Setup!$A$9,C25&gt;=Setup!$A$10),"Y","N")</f>
        <v>N</v>
      </c>
      <c r="E25" s="21">
        <f>IF(COUNTIF(Setup!A:A, R25) &gt; 0, U25, 0)</f>
        <v>0</v>
      </c>
      <c r="F25" s="22">
        <f>IF(COUNTIF(Setup!D:D, R25) &gt; 0, U25, 0)</f>
        <v>0</v>
      </c>
      <c r="G25" s="21">
        <f>IF(COUNTIF(Setup!G:G, R25) &gt; 0, U25, 0)</f>
        <v>0</v>
      </c>
      <c r="H25" s="22">
        <f>IF(COUNTIF(Setup!J:J, R25) &gt; 0, U25, 0)</f>
        <v>0</v>
      </c>
      <c r="I25" s="21">
        <f t="shared" si="3"/>
        <v>1270.44</v>
      </c>
      <c r="J25" s="22">
        <f t="shared" si="4"/>
        <v>0</v>
      </c>
      <c r="K25" s="21">
        <f t="shared" si="5"/>
        <v>1242</v>
      </c>
      <c r="L25" s="22">
        <f t="shared" si="6"/>
        <v>0</v>
      </c>
      <c r="M25" s="21">
        <f>IF(D25="Y",MAX(0,I25-Setup!$A$8),0)</f>
        <v>0</v>
      </c>
      <c r="N25" s="21">
        <f>IF(D25="Y",MAX(0,K25-Setup!$A$8),0)</f>
        <v>0</v>
      </c>
      <c r="O25" s="4" t="s">
        <v>119</v>
      </c>
      <c r="P25" s="4" t="s">
        <v>133</v>
      </c>
      <c r="Q25" s="4">
        <v>53</v>
      </c>
      <c r="R25" s="4" t="s">
        <v>56</v>
      </c>
      <c r="S25" s="4" t="s">
        <v>57</v>
      </c>
      <c r="T25" s="4"/>
      <c r="U25" s="5">
        <v>0</v>
      </c>
      <c r="V25" s="5">
        <v>0</v>
      </c>
      <c r="W25" s="5">
        <v>31762.44</v>
      </c>
      <c r="X25" s="5">
        <v>29031.120000000003</v>
      </c>
      <c r="Y25" s="5">
        <v>41058.080000000002</v>
      </c>
    </row>
    <row r="26" spans="1:25" x14ac:dyDescent="0.25">
      <c r="A26" s="10" t="str">
        <f t="shared" si="0"/>
        <v>A00000006</v>
      </c>
      <c r="B26" s="10" t="str">
        <f t="shared" si="1"/>
        <v>Hannah Lowell Reed</v>
      </c>
      <c r="C26" s="10">
        <f t="shared" si="2"/>
        <v>53</v>
      </c>
      <c r="D26" s="10" t="str">
        <f>IF(AND(Y26&gt;=Setup!$A$9,C26&gt;=Setup!$A$10),"Y","N")</f>
        <v>N</v>
      </c>
      <c r="E26" s="21">
        <f>IF(COUNTIF(Setup!A:A, R26) &gt; 0, U26, 0)</f>
        <v>0</v>
      </c>
      <c r="F26" s="22">
        <f>IF(COUNTIF(Setup!D:D, R26) &gt; 0, U26, 0)</f>
        <v>0</v>
      </c>
      <c r="G26" s="21">
        <f>IF(COUNTIF(Setup!G:G, R26) &gt; 0, U26, 0)</f>
        <v>1242</v>
      </c>
      <c r="H26" s="22">
        <f>IF(COUNTIF(Setup!J:J, R26) &gt; 0, U26, 0)</f>
        <v>0</v>
      </c>
      <c r="I26" s="21">
        <f t="shared" si="3"/>
        <v>0</v>
      </c>
      <c r="J26" s="22">
        <f t="shared" si="4"/>
        <v>0</v>
      </c>
      <c r="K26" s="21">
        <f t="shared" si="5"/>
        <v>0</v>
      </c>
      <c r="L26" s="22">
        <f t="shared" si="6"/>
        <v>0</v>
      </c>
      <c r="M26" s="21">
        <f>IF(D26="Y",MAX(0,I26-Setup!$A$8),0)</f>
        <v>0</v>
      </c>
      <c r="N26" s="21">
        <f>IF(D26="Y",MAX(0,K26-Setup!$A$8),0)</f>
        <v>0</v>
      </c>
      <c r="O26" s="4" t="s">
        <v>114</v>
      </c>
      <c r="P26" s="4" t="s">
        <v>114</v>
      </c>
      <c r="Q26" s="4"/>
      <c r="R26" s="4" t="s">
        <v>90</v>
      </c>
      <c r="S26" s="4" t="s">
        <v>91</v>
      </c>
      <c r="T26" s="4" t="s">
        <v>60</v>
      </c>
      <c r="U26" s="5">
        <v>1242</v>
      </c>
      <c r="V26" s="5">
        <v>0</v>
      </c>
      <c r="W26" s="5">
        <v>32831.340000000004</v>
      </c>
      <c r="X26" s="5">
        <v>29031.120000000003</v>
      </c>
      <c r="Y26" s="5">
        <v>41058.080000000002</v>
      </c>
    </row>
    <row r="27" spans="1:25" x14ac:dyDescent="0.25">
      <c r="A27" s="10" t="str">
        <f t="shared" si="0"/>
        <v>A00000006</v>
      </c>
      <c r="B27" s="10" t="str">
        <f t="shared" si="1"/>
        <v>Hannah Lowell Reed</v>
      </c>
      <c r="C27" s="10">
        <f t="shared" si="2"/>
        <v>53</v>
      </c>
      <c r="D27" s="10" t="str">
        <f>IF(AND(Y27&gt;=Setup!$A$9,C27&gt;=Setup!$A$10),"Y","N")</f>
        <v>N</v>
      </c>
      <c r="E27" s="21">
        <f>IF(COUNTIF(Setup!A:A, R27) &gt; 0, U27, 0)</f>
        <v>1270.44</v>
      </c>
      <c r="F27" s="22">
        <f>IF(COUNTIF(Setup!D:D, R27) &gt; 0, U27, 0)</f>
        <v>0</v>
      </c>
      <c r="G27" s="21">
        <f>IF(COUNTIF(Setup!G:G, R27) &gt; 0, U27, 0)</f>
        <v>0</v>
      </c>
      <c r="H27" s="22">
        <f>IF(COUNTIF(Setup!J:J, R27) &gt; 0, U27, 0)</f>
        <v>0</v>
      </c>
      <c r="I27" s="21">
        <f t="shared" si="3"/>
        <v>0</v>
      </c>
      <c r="J27" s="22">
        <f t="shared" si="4"/>
        <v>0</v>
      </c>
      <c r="K27" s="21">
        <f t="shared" si="5"/>
        <v>0</v>
      </c>
      <c r="L27" s="22">
        <f t="shared" si="6"/>
        <v>0</v>
      </c>
      <c r="M27" s="21">
        <f>IF(D27="Y",MAX(0,I27-Setup!$A$8),0)</f>
        <v>0</v>
      </c>
      <c r="N27" s="21">
        <f>IF(D27="Y",MAX(0,K27-Setup!$A$8),0)</f>
        <v>0</v>
      </c>
      <c r="O27" s="4" t="s">
        <v>114</v>
      </c>
      <c r="P27" s="4" t="s">
        <v>114</v>
      </c>
      <c r="Q27" s="4"/>
      <c r="R27" s="4" t="s">
        <v>79</v>
      </c>
      <c r="S27" s="4" t="s">
        <v>80</v>
      </c>
      <c r="T27" s="4" t="s">
        <v>60</v>
      </c>
      <c r="U27" s="5">
        <v>1270.44</v>
      </c>
      <c r="V27" s="5">
        <v>0</v>
      </c>
      <c r="W27" s="5">
        <v>31762.44</v>
      </c>
      <c r="X27" s="5">
        <v>29031.120000000003</v>
      </c>
      <c r="Y27" s="5">
        <v>41058.080000000002</v>
      </c>
    </row>
    <row r="28" spans="1:25" x14ac:dyDescent="0.25">
      <c r="A28" s="10" t="str">
        <f t="shared" si="0"/>
        <v>A00000006</v>
      </c>
      <c r="B28" s="10" t="str">
        <f t="shared" si="1"/>
        <v>Hannah Lowell Reed</v>
      </c>
      <c r="C28" s="10">
        <f t="shared" si="2"/>
        <v>53</v>
      </c>
      <c r="D28" s="10" t="str">
        <f>IF(AND(Y28&gt;=Setup!$A$9,C28&gt;=Setup!$A$10),"Y","N")</f>
        <v>N</v>
      </c>
      <c r="E28" s="21">
        <f>IF(COUNTIF(Setup!A:A, R28) &gt; 0, U28, 0)</f>
        <v>0</v>
      </c>
      <c r="F28" s="22">
        <f>IF(COUNTIF(Setup!D:D, R28) &gt; 0, U28, 0)</f>
        <v>0</v>
      </c>
      <c r="G28" s="21">
        <f>IF(COUNTIF(Setup!G:G, R28) &gt; 0, U28, 0)</f>
        <v>0</v>
      </c>
      <c r="H28" s="22">
        <f>IF(COUNTIF(Setup!J:J, R28) &gt; 0, U28, 0)</f>
        <v>0</v>
      </c>
      <c r="I28" s="21">
        <f t="shared" si="3"/>
        <v>0</v>
      </c>
      <c r="J28" s="22">
        <f t="shared" si="4"/>
        <v>0</v>
      </c>
      <c r="K28" s="21">
        <f t="shared" si="5"/>
        <v>0</v>
      </c>
      <c r="L28" s="22">
        <f t="shared" si="6"/>
        <v>0</v>
      </c>
      <c r="M28" s="21">
        <f>IF(D28="Y",MAX(0,I28-Setup!$A$8),0)</f>
        <v>0</v>
      </c>
      <c r="N28" s="21">
        <f>IF(D28="Y",MAX(0,K28-Setup!$A$8),0)</f>
        <v>0</v>
      </c>
      <c r="O28" s="4" t="s">
        <v>114</v>
      </c>
      <c r="P28" s="4" t="s">
        <v>114</v>
      </c>
      <c r="Q28" s="4"/>
      <c r="R28" s="4" t="s">
        <v>54</v>
      </c>
      <c r="S28" s="4" t="s">
        <v>55</v>
      </c>
      <c r="T28" s="4"/>
      <c r="U28" s="5">
        <v>0</v>
      </c>
      <c r="V28" s="5">
        <v>1059.81</v>
      </c>
      <c r="W28" s="5">
        <v>31762.44</v>
      </c>
      <c r="X28" s="5">
        <v>29031.120000000003</v>
      </c>
      <c r="Y28" s="5">
        <v>41058.080000000002</v>
      </c>
    </row>
    <row r="29" spans="1:25" x14ac:dyDescent="0.25">
      <c r="A29" s="10" t="str">
        <f t="shared" si="0"/>
        <v>A00000006</v>
      </c>
      <c r="B29" s="10" t="str">
        <f t="shared" si="1"/>
        <v>Hannah Lowell Reed</v>
      </c>
      <c r="C29" s="10">
        <f t="shared" si="2"/>
        <v>53</v>
      </c>
      <c r="D29" s="10" t="str">
        <f>IF(AND(Y29&gt;=Setup!$A$9,C29&gt;=Setup!$A$10),"Y","N")</f>
        <v>N</v>
      </c>
      <c r="E29" s="21">
        <f>IF(COUNTIF(Setup!A:A, R29) &gt; 0, U29, 0)</f>
        <v>0</v>
      </c>
      <c r="F29" s="22">
        <f>IF(COUNTIF(Setup!D:D, R29) &gt; 0, U29, 0)</f>
        <v>0</v>
      </c>
      <c r="G29" s="21">
        <f>IF(COUNTIF(Setup!G:G, R29) &gt; 0, U29, 0)</f>
        <v>0</v>
      </c>
      <c r="H29" s="22">
        <f>IF(COUNTIF(Setup!J:J, R29) &gt; 0, U29, 0)</f>
        <v>0</v>
      </c>
      <c r="I29" s="21">
        <f t="shared" si="3"/>
        <v>0</v>
      </c>
      <c r="J29" s="22">
        <f t="shared" si="4"/>
        <v>0</v>
      </c>
      <c r="K29" s="21">
        <f t="shared" si="5"/>
        <v>0</v>
      </c>
      <c r="L29" s="22">
        <f t="shared" si="6"/>
        <v>0</v>
      </c>
      <c r="M29" s="21">
        <f>IF(D29="Y",MAX(0,I29-Setup!$A$8),0)</f>
        <v>0</v>
      </c>
      <c r="N29" s="21">
        <f>IF(D29="Y",MAX(0,K29-Setup!$A$8),0)</f>
        <v>0</v>
      </c>
      <c r="O29" s="4" t="s">
        <v>114</v>
      </c>
      <c r="P29" s="4" t="s">
        <v>114</v>
      </c>
      <c r="Q29" s="4"/>
      <c r="R29" s="4" t="s">
        <v>52</v>
      </c>
      <c r="S29" s="4" t="s">
        <v>53</v>
      </c>
      <c r="T29" s="4"/>
      <c r="U29" s="5">
        <v>257.21999999999997</v>
      </c>
      <c r="V29" s="5">
        <v>0</v>
      </c>
      <c r="W29" s="5">
        <v>31762.44</v>
      </c>
      <c r="X29" s="5">
        <v>29031.120000000003</v>
      </c>
      <c r="Y29" s="5">
        <v>41058.080000000002</v>
      </c>
    </row>
    <row r="30" spans="1:25" x14ac:dyDescent="0.25">
      <c r="A30" s="10" t="str">
        <f t="shared" si="0"/>
        <v>A00000006</v>
      </c>
      <c r="B30" s="10" t="str">
        <f t="shared" si="1"/>
        <v>Hannah Lowell Reed</v>
      </c>
      <c r="C30" s="10">
        <f t="shared" si="2"/>
        <v>53</v>
      </c>
      <c r="D30" s="10" t="str">
        <f>IF(AND(Y30&gt;=Setup!$A$9,C30&gt;=Setup!$A$10),"Y","N")</f>
        <v>N</v>
      </c>
      <c r="E30" s="21">
        <f>IF(COUNTIF(Setup!A:A, R30) &gt; 0, U30, 0)</f>
        <v>0</v>
      </c>
      <c r="F30" s="22">
        <f>IF(COUNTIF(Setup!D:D, R30) &gt; 0, U30, 0)</f>
        <v>0</v>
      </c>
      <c r="G30" s="21">
        <f>IF(COUNTIF(Setup!G:G, R30) &gt; 0, U30, 0)</f>
        <v>0</v>
      </c>
      <c r="H30" s="22">
        <f>IF(COUNTIF(Setup!J:J, R30) &gt; 0, U30, 0)</f>
        <v>0</v>
      </c>
      <c r="I30" s="21">
        <f t="shared" si="3"/>
        <v>0</v>
      </c>
      <c r="J30" s="22">
        <f t="shared" si="4"/>
        <v>0</v>
      </c>
      <c r="K30" s="21">
        <f t="shared" si="5"/>
        <v>0</v>
      </c>
      <c r="L30" s="22">
        <f t="shared" si="6"/>
        <v>0</v>
      </c>
      <c r="M30" s="21">
        <f>IF(D30="Y",MAX(0,I30-Setup!$A$8),0)</f>
        <v>0</v>
      </c>
      <c r="N30" s="21">
        <f>IF(D30="Y",MAX(0,K30-Setup!$A$8),0)</f>
        <v>0</v>
      </c>
      <c r="O30" s="4" t="s">
        <v>114</v>
      </c>
      <c r="P30" s="4" t="s">
        <v>114</v>
      </c>
      <c r="Q30" s="4"/>
      <c r="R30" s="4" t="s">
        <v>69</v>
      </c>
      <c r="S30" s="4" t="s">
        <v>70</v>
      </c>
      <c r="T30" s="4"/>
      <c r="U30" s="5">
        <v>0</v>
      </c>
      <c r="V30" s="5">
        <v>1743.91</v>
      </c>
      <c r="W30" s="5">
        <v>47154.06</v>
      </c>
      <c r="X30" s="5">
        <v>44173.14</v>
      </c>
      <c r="Y30" s="5">
        <v>61698.36</v>
      </c>
    </row>
    <row r="31" spans="1:25" x14ac:dyDescent="0.25">
      <c r="A31" s="10" t="str">
        <f t="shared" si="0"/>
        <v>A00000007</v>
      </c>
      <c r="B31" s="10" t="str">
        <f t="shared" si="1"/>
        <v>Isaac P. Nakamura</v>
      </c>
      <c r="C31" s="10">
        <f t="shared" si="2"/>
        <v>52</v>
      </c>
      <c r="D31" s="10" t="str">
        <f>IF(AND(Y31&gt;=Setup!$A$9,C31&gt;=Setup!$A$10),"Y","N")</f>
        <v>Y</v>
      </c>
      <c r="E31" s="21">
        <f>IF(COUNTIF(Setup!A:A, R31) &gt; 0, U31, 0)</f>
        <v>0</v>
      </c>
      <c r="F31" s="22">
        <f>IF(COUNTIF(Setup!D:D, R31) &gt; 0, U31, 0)</f>
        <v>0</v>
      </c>
      <c r="G31" s="21">
        <f>IF(COUNTIF(Setup!G:G, R31) &gt; 0, U31, 0)</f>
        <v>15750</v>
      </c>
      <c r="H31" s="22">
        <f>IF(COUNTIF(Setup!J:J, R31) &gt; 0, U31, 0)</f>
        <v>0</v>
      </c>
      <c r="I31" s="21">
        <f t="shared" si="3"/>
        <v>0</v>
      </c>
      <c r="J31" s="22">
        <f t="shared" si="4"/>
        <v>0</v>
      </c>
      <c r="K31" s="21">
        <f t="shared" si="5"/>
        <v>15750</v>
      </c>
      <c r="L31" s="22">
        <f t="shared" si="6"/>
        <v>0</v>
      </c>
      <c r="M31" s="21">
        <f>IF(D31="Y",MAX(0,I31-Setup!$A$8),0)</f>
        <v>0</v>
      </c>
      <c r="N31" s="21">
        <f>IF(D31="Y",MAX(0,K31-Setup!$A$8),0)</f>
        <v>0</v>
      </c>
      <c r="O31" s="4" t="s">
        <v>120</v>
      </c>
      <c r="P31" s="4" t="s">
        <v>141</v>
      </c>
      <c r="Q31" s="4">
        <v>52</v>
      </c>
      <c r="R31" s="4" t="s">
        <v>90</v>
      </c>
      <c r="S31" s="4" t="s">
        <v>91</v>
      </c>
      <c r="T31" s="4" t="s">
        <v>60</v>
      </c>
      <c r="U31" s="5">
        <v>15750</v>
      </c>
      <c r="V31" s="5">
        <v>0</v>
      </c>
      <c r="W31" s="5">
        <v>186159.59999999998</v>
      </c>
      <c r="X31" s="5">
        <v>174183.48</v>
      </c>
      <c r="Y31" s="5">
        <v>176100</v>
      </c>
    </row>
    <row r="32" spans="1:25" x14ac:dyDescent="0.25">
      <c r="A32" s="10" t="str">
        <f t="shared" si="0"/>
        <v>A00000007</v>
      </c>
      <c r="B32" s="10" t="str">
        <f t="shared" si="1"/>
        <v>Isaac P. Nakamura</v>
      </c>
      <c r="C32" s="10">
        <f t="shared" si="2"/>
        <v>52</v>
      </c>
      <c r="D32" s="10" t="str">
        <f>IF(AND(Y32&gt;=Setup!$A$9,C32&gt;=Setup!$A$10),"Y","N")</f>
        <v>Y</v>
      </c>
      <c r="E32" s="21">
        <f>IF(COUNTIF(Setup!A:A, R32) &gt; 0, U32, 0)</f>
        <v>0</v>
      </c>
      <c r="F32" s="22">
        <f>IF(COUNTIF(Setup!D:D, R32) &gt; 0, U32, 0)</f>
        <v>0</v>
      </c>
      <c r="G32" s="21">
        <f>IF(COUNTIF(Setup!G:G, R32) &gt; 0, U32, 0)</f>
        <v>0</v>
      </c>
      <c r="H32" s="22">
        <f>IF(COUNTIF(Setup!J:J, R32) &gt; 0, U32, 0)</f>
        <v>0</v>
      </c>
      <c r="I32" s="21">
        <f t="shared" si="3"/>
        <v>0</v>
      </c>
      <c r="J32" s="22">
        <f t="shared" si="4"/>
        <v>0</v>
      </c>
      <c r="K32" s="21">
        <f t="shared" si="5"/>
        <v>0</v>
      </c>
      <c r="L32" s="22">
        <f t="shared" si="6"/>
        <v>0</v>
      </c>
      <c r="M32" s="21">
        <f>IF(D32="Y",MAX(0,I32-Setup!$A$8),0)</f>
        <v>0</v>
      </c>
      <c r="N32" s="21">
        <f>IF(D32="Y",MAX(0,K32-Setup!$A$8),0)</f>
        <v>0</v>
      </c>
      <c r="O32" s="4" t="s">
        <v>114</v>
      </c>
      <c r="P32" s="4" t="s">
        <v>114</v>
      </c>
      <c r="Q32" s="4"/>
      <c r="R32" s="4" t="s">
        <v>92</v>
      </c>
      <c r="S32" s="4" t="s">
        <v>93</v>
      </c>
      <c r="T32" s="4" t="s">
        <v>60</v>
      </c>
      <c r="U32" s="5">
        <v>0</v>
      </c>
      <c r="V32" s="5">
        <v>0</v>
      </c>
      <c r="W32" s="5">
        <v>186159.59999999998</v>
      </c>
      <c r="X32" s="5">
        <v>174183.48</v>
      </c>
      <c r="Y32" s="5">
        <v>176100</v>
      </c>
    </row>
    <row r="33" spans="1:25" x14ac:dyDescent="0.25">
      <c r="A33" s="10" t="str">
        <f t="shared" si="0"/>
        <v>A00000007</v>
      </c>
      <c r="B33" s="10" t="str">
        <f t="shared" si="1"/>
        <v>Isaac P. Nakamura</v>
      </c>
      <c r="C33" s="10">
        <f t="shared" si="2"/>
        <v>52</v>
      </c>
      <c r="D33" s="10" t="str">
        <f>IF(AND(Y33&gt;=Setup!$A$9,C33&gt;=Setup!$A$10),"Y","N")</f>
        <v>Y</v>
      </c>
      <c r="E33" s="21">
        <f>IF(COUNTIF(Setup!A:A, R33) &gt; 0, U33, 0)</f>
        <v>0</v>
      </c>
      <c r="F33" s="22">
        <f>IF(COUNTIF(Setup!D:D, R33) &gt; 0, U33, 0)</f>
        <v>0</v>
      </c>
      <c r="G33" s="21">
        <f>IF(COUNTIF(Setup!G:G, R33) &gt; 0, U33, 0)</f>
        <v>0</v>
      </c>
      <c r="H33" s="22">
        <f>IF(COUNTIF(Setup!J:J, R33) &gt; 0, U33, 0)</f>
        <v>0</v>
      </c>
      <c r="I33" s="21">
        <f t="shared" si="3"/>
        <v>0</v>
      </c>
      <c r="J33" s="22">
        <f t="shared" si="4"/>
        <v>0</v>
      </c>
      <c r="K33" s="21">
        <f t="shared" si="5"/>
        <v>0</v>
      </c>
      <c r="L33" s="22">
        <f t="shared" si="6"/>
        <v>0</v>
      </c>
      <c r="M33" s="21">
        <f>IF(D33="Y",MAX(0,I33-Setup!$A$8),0)</f>
        <v>0</v>
      </c>
      <c r="N33" s="21">
        <f>IF(D33="Y",MAX(0,K33-Setup!$A$8),0)</f>
        <v>0</v>
      </c>
      <c r="O33" s="4" t="s">
        <v>114</v>
      </c>
      <c r="P33" s="4" t="s">
        <v>114</v>
      </c>
      <c r="Q33" s="4"/>
      <c r="R33" s="4" t="s">
        <v>67</v>
      </c>
      <c r="S33" s="4" t="s">
        <v>68</v>
      </c>
      <c r="T33" s="4" t="s">
        <v>65</v>
      </c>
      <c r="U33" s="5">
        <v>0</v>
      </c>
      <c r="V33" s="5">
        <v>4182</v>
      </c>
      <c r="W33" s="5">
        <v>176704.2</v>
      </c>
      <c r="X33" s="5">
        <v>174183.48</v>
      </c>
      <c r="Y33" s="5">
        <v>176100</v>
      </c>
    </row>
    <row r="34" spans="1:25" x14ac:dyDescent="0.25">
      <c r="A34" s="10" t="str">
        <f t="shared" ref="A34:A65" si="7">IF(O34="",A33,O34)</f>
        <v>A00000008</v>
      </c>
      <c r="B34" s="10" t="str">
        <f t="shared" ref="B34:B65" si="8">IF(P34="",B33,P34)</f>
        <v>Jordan Blake Thompson</v>
      </c>
      <c r="C34" s="10">
        <f t="shared" ref="C34:C65" si="9">IF(Q34="",C33,Q34)</f>
        <v>51</v>
      </c>
      <c r="D34" s="10" t="str">
        <f>IF(AND(Y34&gt;=Setup!$A$9,C34&gt;=Setup!$A$10),"Y","N")</f>
        <v>N</v>
      </c>
      <c r="E34" s="21">
        <f>IF(COUNTIF(Setup!A:A, R34) &gt; 0, U34, 0)</f>
        <v>0</v>
      </c>
      <c r="F34" s="22">
        <f>IF(COUNTIF(Setup!D:D, R34) &gt; 0, U34, 0)</f>
        <v>0</v>
      </c>
      <c r="G34" s="21">
        <f>IF(COUNTIF(Setup!G:G, R34) &gt; 0, U34, 0)</f>
        <v>10706.22</v>
      </c>
      <c r="H34" s="22">
        <f>IF(COUNTIF(Setup!J:J, R34) &gt; 0, U34, 0)</f>
        <v>0</v>
      </c>
      <c r="I34" s="21">
        <f t="shared" ref="I34:I65" si="10">SUMIFS(E:E,$A:$A,$O34)</f>
        <v>1595.52</v>
      </c>
      <c r="J34" s="22">
        <f t="shared" ref="J34:J65" si="11">SUMIFS(F:F,$A:$A,$O34)</f>
        <v>0</v>
      </c>
      <c r="K34" s="21">
        <f t="shared" ref="K34:K65" si="12">SUMIFS(G:G,$A:$A,$O34)</f>
        <v>21412.44</v>
      </c>
      <c r="L34" s="22">
        <f t="shared" ref="L34:L65" si="13">SUMIFS(H:H,$A:$A,$O34)</f>
        <v>0</v>
      </c>
      <c r="M34" s="21">
        <f>IF(D34="Y",MAX(0,I34-Setup!$A$8),0)</f>
        <v>0</v>
      </c>
      <c r="N34" s="21">
        <f>IF(D34="Y",MAX(0,K34-Setup!$A$8),0)</f>
        <v>0</v>
      </c>
      <c r="O34" s="4" t="s">
        <v>121</v>
      </c>
      <c r="P34" s="4" t="s">
        <v>142</v>
      </c>
      <c r="Q34" s="4">
        <v>51</v>
      </c>
      <c r="R34" s="4" t="s">
        <v>90</v>
      </c>
      <c r="S34" s="4" t="s">
        <v>91</v>
      </c>
      <c r="T34" s="4" t="s">
        <v>60</v>
      </c>
      <c r="U34" s="5">
        <v>10706.22</v>
      </c>
      <c r="V34" s="5">
        <v>0</v>
      </c>
      <c r="W34" s="5">
        <v>53181.72</v>
      </c>
      <c r="X34" s="5">
        <v>52929.72</v>
      </c>
      <c r="Y34" s="5">
        <v>32964.879999999997</v>
      </c>
    </row>
    <row r="35" spans="1:25" x14ac:dyDescent="0.25">
      <c r="A35" s="10" t="str">
        <f t="shared" si="7"/>
        <v>A00000008</v>
      </c>
      <c r="B35" s="10" t="str">
        <f t="shared" si="8"/>
        <v>Jordan Blake Thompson</v>
      </c>
      <c r="C35" s="10">
        <f t="shared" si="9"/>
        <v>51</v>
      </c>
      <c r="D35" s="10" t="str">
        <f>IF(AND(Y35&gt;=Setup!$A$9,C35&gt;=Setup!$A$10),"Y","N")</f>
        <v>N</v>
      </c>
      <c r="E35" s="21">
        <f>IF(COUNTIF(Setup!A:A, R35) &gt; 0, U35, 0)</f>
        <v>1595.52</v>
      </c>
      <c r="F35" s="22">
        <f>IF(COUNTIF(Setup!D:D, R35) &gt; 0, U35, 0)</f>
        <v>0</v>
      </c>
      <c r="G35" s="21">
        <f>IF(COUNTIF(Setup!G:G, R35) &gt; 0, U35, 0)</f>
        <v>0</v>
      </c>
      <c r="H35" s="22">
        <f>IF(COUNTIF(Setup!J:J, R35) &gt; 0, U35, 0)</f>
        <v>0</v>
      </c>
      <c r="I35" s="21">
        <f t="shared" si="10"/>
        <v>0</v>
      </c>
      <c r="J35" s="22">
        <f t="shared" si="11"/>
        <v>0</v>
      </c>
      <c r="K35" s="21">
        <f t="shared" si="12"/>
        <v>0</v>
      </c>
      <c r="L35" s="22">
        <f t="shared" si="13"/>
        <v>0</v>
      </c>
      <c r="M35" s="21">
        <f>IF(D35="Y",MAX(0,I35-Setup!$A$8),0)</f>
        <v>0</v>
      </c>
      <c r="N35" s="21">
        <f>IF(D35="Y",MAX(0,K35-Setup!$A$8),0)</f>
        <v>0</v>
      </c>
      <c r="O35" s="4" t="s">
        <v>114</v>
      </c>
      <c r="P35" s="4" t="s">
        <v>114</v>
      </c>
      <c r="Q35" s="4"/>
      <c r="R35" s="4" t="s">
        <v>58</v>
      </c>
      <c r="S35" s="4" t="s">
        <v>59</v>
      </c>
      <c r="T35" s="4" t="s">
        <v>60</v>
      </c>
      <c r="U35" s="5">
        <v>1595.52</v>
      </c>
      <c r="V35" s="5">
        <v>0</v>
      </c>
      <c r="W35" s="5">
        <v>53181.72</v>
      </c>
      <c r="X35" s="5">
        <v>52929.72</v>
      </c>
      <c r="Y35" s="5">
        <v>32964.879999999997</v>
      </c>
    </row>
    <row r="36" spans="1:25" x14ac:dyDescent="0.25">
      <c r="A36" s="10" t="str">
        <f t="shared" si="7"/>
        <v>A00000008</v>
      </c>
      <c r="B36" s="10" t="str">
        <f t="shared" si="8"/>
        <v>Jordan Blake Thompson</v>
      </c>
      <c r="C36" s="10">
        <f t="shared" si="9"/>
        <v>51</v>
      </c>
      <c r="D36" s="10" t="str">
        <f>IF(AND(Y36&gt;=Setup!$A$9,C36&gt;=Setup!$A$10),"Y","N")</f>
        <v>N</v>
      </c>
      <c r="E36" s="21">
        <f>IF(COUNTIF(Setup!A:A, R36) &gt; 0, U36, 0)</f>
        <v>0</v>
      </c>
      <c r="F36" s="22">
        <f>IF(COUNTIF(Setup!D:D, R36) &gt; 0, U36, 0)</f>
        <v>0</v>
      </c>
      <c r="G36" s="21">
        <f>IF(COUNTIF(Setup!G:G, R36) &gt; 0, U36, 0)</f>
        <v>0</v>
      </c>
      <c r="H36" s="22">
        <f>IF(COUNTIF(Setup!J:J, R36) &gt; 0, U36, 0)</f>
        <v>0</v>
      </c>
      <c r="I36" s="21">
        <f t="shared" si="10"/>
        <v>0</v>
      </c>
      <c r="J36" s="22">
        <f t="shared" si="11"/>
        <v>0</v>
      </c>
      <c r="K36" s="21">
        <f t="shared" si="12"/>
        <v>0</v>
      </c>
      <c r="L36" s="22">
        <f t="shared" si="13"/>
        <v>0</v>
      </c>
      <c r="M36" s="21">
        <f>IF(D36="Y",MAX(0,I36-Setup!$A$8),0)</f>
        <v>0</v>
      </c>
      <c r="N36" s="21">
        <f>IF(D36="Y",MAX(0,K36-Setup!$A$8),0)</f>
        <v>0</v>
      </c>
      <c r="O36" s="4" t="s">
        <v>114</v>
      </c>
      <c r="P36" s="4" t="s">
        <v>114</v>
      </c>
      <c r="Q36" s="4"/>
      <c r="R36" s="4" t="s">
        <v>63</v>
      </c>
      <c r="S36" s="4" t="s">
        <v>64</v>
      </c>
      <c r="T36" s="4" t="s">
        <v>81</v>
      </c>
      <c r="U36" s="5">
        <v>0</v>
      </c>
      <c r="V36" s="5">
        <v>629.30999999999995</v>
      </c>
      <c r="W36" s="5">
        <v>53181.72</v>
      </c>
      <c r="X36" s="5">
        <v>52929.72</v>
      </c>
      <c r="Y36" s="5">
        <v>32964.879999999997</v>
      </c>
    </row>
    <row r="37" spans="1:25" x14ac:dyDescent="0.25">
      <c r="A37" s="10" t="str">
        <f t="shared" si="7"/>
        <v>A00000008</v>
      </c>
      <c r="B37" s="10" t="str">
        <f t="shared" si="8"/>
        <v>Jordan Blake Thompson</v>
      </c>
      <c r="C37" s="10">
        <f t="shared" si="9"/>
        <v>51</v>
      </c>
      <c r="D37" s="10" t="str">
        <f>IF(AND(Y37&gt;=Setup!$A$9,C37&gt;=Setup!$A$10),"Y","N")</f>
        <v>N</v>
      </c>
      <c r="E37" s="21">
        <f>IF(COUNTIF(Setup!A:A, R37) &gt; 0, U37, 0)</f>
        <v>0</v>
      </c>
      <c r="F37" s="22">
        <f>IF(COUNTIF(Setup!D:D, R37) &gt; 0, U37, 0)</f>
        <v>0</v>
      </c>
      <c r="G37" s="21">
        <f>IF(COUNTIF(Setup!G:G, R37) &gt; 0, U37, 0)</f>
        <v>0</v>
      </c>
      <c r="H37" s="22">
        <f>IF(COUNTIF(Setup!J:J, R37) &gt; 0, U37, 0)</f>
        <v>0</v>
      </c>
      <c r="I37" s="21">
        <f t="shared" si="10"/>
        <v>0</v>
      </c>
      <c r="J37" s="22">
        <f t="shared" si="11"/>
        <v>0</v>
      </c>
      <c r="K37" s="21">
        <f t="shared" si="12"/>
        <v>0</v>
      </c>
      <c r="L37" s="22">
        <f t="shared" si="13"/>
        <v>0</v>
      </c>
      <c r="M37" s="21">
        <f>IF(D37="Y",MAX(0,I37-Setup!$A$8),0)</f>
        <v>0</v>
      </c>
      <c r="N37" s="21">
        <f>IF(D37="Y",MAX(0,K37-Setup!$A$8),0)</f>
        <v>0</v>
      </c>
      <c r="O37" s="4" t="s">
        <v>114</v>
      </c>
      <c r="P37" s="4" t="s">
        <v>114</v>
      </c>
      <c r="Q37" s="4"/>
      <c r="R37" s="4" t="s">
        <v>67</v>
      </c>
      <c r="S37" s="4" t="s">
        <v>68</v>
      </c>
      <c r="T37" s="4" t="s">
        <v>81</v>
      </c>
      <c r="U37" s="5">
        <v>0</v>
      </c>
      <c r="V37" s="5">
        <v>629.30999999999995</v>
      </c>
      <c r="W37" s="5">
        <v>53181.72</v>
      </c>
      <c r="X37" s="5">
        <v>52929.72</v>
      </c>
      <c r="Y37" s="5">
        <v>32964.879999999997</v>
      </c>
    </row>
    <row r="38" spans="1:25" x14ac:dyDescent="0.25">
      <c r="A38" s="10" t="str">
        <f t="shared" si="7"/>
        <v>A00000008</v>
      </c>
      <c r="B38" s="10" t="str">
        <f t="shared" si="8"/>
        <v>Jordan Blake Thompson</v>
      </c>
      <c r="C38" s="10">
        <f t="shared" si="9"/>
        <v>51</v>
      </c>
      <c r="D38" s="10" t="str">
        <f>IF(AND(Y38&gt;=Setup!$A$9,C38&gt;=Setup!$A$10),"Y","N")</f>
        <v>N</v>
      </c>
      <c r="E38" s="21">
        <f>IF(COUNTIF(Setup!A:A, R38) &gt; 0, U38, 0)</f>
        <v>0</v>
      </c>
      <c r="F38" s="22">
        <f>IF(COUNTIF(Setup!D:D, R38) &gt; 0, U38, 0)</f>
        <v>0</v>
      </c>
      <c r="G38" s="21">
        <f>IF(COUNTIF(Setup!G:G, R38) &gt; 0, U38, 0)</f>
        <v>10706.22</v>
      </c>
      <c r="H38" s="22">
        <f>IF(COUNTIF(Setup!J:J, R38) &gt; 0, U38, 0)</f>
        <v>0</v>
      </c>
      <c r="I38" s="21">
        <f t="shared" si="10"/>
        <v>0</v>
      </c>
      <c r="J38" s="22">
        <f t="shared" si="11"/>
        <v>0</v>
      </c>
      <c r="K38" s="21">
        <f t="shared" si="12"/>
        <v>0</v>
      </c>
      <c r="L38" s="22">
        <f t="shared" si="13"/>
        <v>0</v>
      </c>
      <c r="M38" s="21">
        <f>IF(D38="Y",MAX(0,I38-Setup!$A$8),0)</f>
        <v>0</v>
      </c>
      <c r="N38" s="21">
        <f>IF(D38="Y",MAX(0,K38-Setup!$A$8),0)</f>
        <v>0</v>
      </c>
      <c r="O38" s="4" t="s">
        <v>114</v>
      </c>
      <c r="P38" s="4" t="s">
        <v>114</v>
      </c>
      <c r="Q38" s="4"/>
      <c r="R38" s="4" t="s">
        <v>83</v>
      </c>
      <c r="S38" s="4" t="s">
        <v>84</v>
      </c>
      <c r="T38" s="4" t="s">
        <v>60</v>
      </c>
      <c r="U38" s="5">
        <v>10706.22</v>
      </c>
      <c r="V38" s="5">
        <v>0</v>
      </c>
      <c r="W38" s="5">
        <v>53181.72</v>
      </c>
      <c r="X38" s="5">
        <v>52929.72</v>
      </c>
      <c r="Y38" s="5">
        <v>32964.879999999997</v>
      </c>
    </row>
    <row r="39" spans="1:25" x14ac:dyDescent="0.25">
      <c r="A39" s="10" t="str">
        <f t="shared" si="7"/>
        <v>A00000009</v>
      </c>
      <c r="B39" s="10" t="str">
        <f t="shared" si="8"/>
        <v>Lina M. Alvarez</v>
      </c>
      <c r="C39" s="10">
        <f t="shared" si="9"/>
        <v>81</v>
      </c>
      <c r="D39" s="10" t="str">
        <f>IF(AND(Y39&gt;=Setup!$A$9,C39&gt;=Setup!$A$10),"Y","N")</f>
        <v>N</v>
      </c>
      <c r="E39" s="21">
        <f>IF(COUNTIF(Setup!A:A, R39) &gt; 0, U39, 0)</f>
        <v>0</v>
      </c>
      <c r="F39" s="22">
        <f>IF(COUNTIF(Setup!D:D, R39) &gt; 0, U39, 0)</f>
        <v>0</v>
      </c>
      <c r="G39" s="21">
        <f>IF(COUNTIF(Setup!G:G, R39) &gt; 0, U39, 0)</f>
        <v>0</v>
      </c>
      <c r="H39" s="22">
        <f>IF(COUNTIF(Setup!J:J, R39) &gt; 0, U39, 0)</f>
        <v>0</v>
      </c>
      <c r="I39" s="21">
        <f t="shared" si="10"/>
        <v>14517</v>
      </c>
      <c r="J39" s="22">
        <f t="shared" si="11"/>
        <v>0</v>
      </c>
      <c r="K39" s="21">
        <f t="shared" si="12"/>
        <v>14571</v>
      </c>
      <c r="L39" s="22">
        <f t="shared" si="13"/>
        <v>0</v>
      </c>
      <c r="M39" s="21">
        <f>IF(D39="Y",MAX(0,I39-Setup!$A$8),0)</f>
        <v>0</v>
      </c>
      <c r="N39" s="21">
        <f>IF(D39="Y",MAX(0,K39-Setup!$A$8),0)</f>
        <v>0</v>
      </c>
      <c r="O39" s="4" t="s">
        <v>122</v>
      </c>
      <c r="P39" s="4" t="s">
        <v>143</v>
      </c>
      <c r="Q39" s="4">
        <v>81</v>
      </c>
      <c r="R39" s="4" t="s">
        <v>63</v>
      </c>
      <c r="S39" s="4" t="s">
        <v>64</v>
      </c>
      <c r="T39" s="4" t="s">
        <v>65</v>
      </c>
      <c r="U39" s="5">
        <v>0</v>
      </c>
      <c r="V39" s="5">
        <v>1368.57</v>
      </c>
      <c r="W39" s="5">
        <v>57826.44</v>
      </c>
      <c r="X39" s="5">
        <v>56706.479999999996</v>
      </c>
      <c r="Y39" s="5">
        <v>78802.11</v>
      </c>
    </row>
    <row r="40" spans="1:25" x14ac:dyDescent="0.25">
      <c r="A40" s="10" t="str">
        <f t="shared" si="7"/>
        <v>A00000009</v>
      </c>
      <c r="B40" s="10" t="str">
        <f t="shared" si="8"/>
        <v>Lina M. Alvarez</v>
      </c>
      <c r="C40" s="10">
        <f t="shared" si="9"/>
        <v>81</v>
      </c>
      <c r="D40" s="10" t="str">
        <f>IF(AND(Y40&gt;=Setup!$A$9,C40&gt;=Setup!$A$10),"Y","N")</f>
        <v>N</v>
      </c>
      <c r="E40" s="21">
        <f>IF(COUNTIF(Setup!A:A, R40) &gt; 0, U40, 0)</f>
        <v>0</v>
      </c>
      <c r="F40" s="22">
        <f>IF(COUNTIF(Setup!D:D, R40) &gt; 0, U40, 0)</f>
        <v>0</v>
      </c>
      <c r="G40" s="21">
        <f>IF(COUNTIF(Setup!G:G, R40) &gt; 0, U40, 0)</f>
        <v>7380</v>
      </c>
      <c r="H40" s="22">
        <f>IF(COUNTIF(Setup!J:J, R40) &gt; 0, U40, 0)</f>
        <v>0</v>
      </c>
      <c r="I40" s="21">
        <f t="shared" si="10"/>
        <v>0</v>
      </c>
      <c r="J40" s="22">
        <f t="shared" si="11"/>
        <v>0</v>
      </c>
      <c r="K40" s="21">
        <f t="shared" si="12"/>
        <v>0</v>
      </c>
      <c r="L40" s="22">
        <f t="shared" si="13"/>
        <v>0</v>
      </c>
      <c r="M40" s="21">
        <f>IF(D40="Y",MAX(0,I40-Setup!$A$8),0)</f>
        <v>0</v>
      </c>
      <c r="N40" s="21">
        <f>IF(D40="Y",MAX(0,K40-Setup!$A$8),0)</f>
        <v>0</v>
      </c>
      <c r="O40" s="4" t="s">
        <v>114</v>
      </c>
      <c r="P40" s="4" t="s">
        <v>114</v>
      </c>
      <c r="Q40" s="4"/>
      <c r="R40" s="4" t="s">
        <v>90</v>
      </c>
      <c r="S40" s="4" t="s">
        <v>91</v>
      </c>
      <c r="T40" s="4" t="s">
        <v>60</v>
      </c>
      <c r="U40" s="5">
        <v>7380</v>
      </c>
      <c r="V40" s="5">
        <v>0</v>
      </c>
      <c r="W40" s="5">
        <v>57826.44</v>
      </c>
      <c r="X40" s="5">
        <v>56706.479999999996</v>
      </c>
      <c r="Y40" s="5">
        <v>78802.11</v>
      </c>
    </row>
    <row r="41" spans="1:25" x14ac:dyDescent="0.25">
      <c r="A41" s="10" t="str">
        <f t="shared" si="7"/>
        <v>A00000009</v>
      </c>
      <c r="B41" s="10" t="str">
        <f t="shared" si="8"/>
        <v>Lina M. Alvarez</v>
      </c>
      <c r="C41" s="10">
        <f t="shared" si="9"/>
        <v>81</v>
      </c>
      <c r="D41" s="10" t="str">
        <f>IF(AND(Y41&gt;=Setup!$A$9,C41&gt;=Setup!$A$10),"Y","N")</f>
        <v>N</v>
      </c>
      <c r="E41" s="21">
        <f>IF(COUNTIF(Setup!A:A, R41) &gt; 0, U41, 0)</f>
        <v>7254</v>
      </c>
      <c r="F41" s="22">
        <f>IF(COUNTIF(Setup!D:D, R41) &gt; 0, U41, 0)</f>
        <v>0</v>
      </c>
      <c r="G41" s="21">
        <f>IF(COUNTIF(Setup!G:G, R41) &gt; 0, U41, 0)</f>
        <v>0</v>
      </c>
      <c r="H41" s="22">
        <f>IF(COUNTIF(Setup!J:J, R41) &gt; 0, U41, 0)</f>
        <v>0</v>
      </c>
      <c r="I41" s="21">
        <f t="shared" si="10"/>
        <v>0</v>
      </c>
      <c r="J41" s="22">
        <f t="shared" si="11"/>
        <v>0</v>
      </c>
      <c r="K41" s="21">
        <f t="shared" si="12"/>
        <v>0</v>
      </c>
      <c r="L41" s="22">
        <f t="shared" si="13"/>
        <v>0</v>
      </c>
      <c r="M41" s="21">
        <f>IF(D41="Y",MAX(0,I41-Setup!$A$8),0)</f>
        <v>0</v>
      </c>
      <c r="N41" s="21">
        <f>IF(D41="Y",MAX(0,K41-Setup!$A$8),0)</f>
        <v>0</v>
      </c>
      <c r="O41" s="4" t="s">
        <v>114</v>
      </c>
      <c r="P41" s="4" t="s">
        <v>114</v>
      </c>
      <c r="Q41" s="4"/>
      <c r="R41" s="4" t="s">
        <v>94</v>
      </c>
      <c r="S41" s="4" t="s">
        <v>80</v>
      </c>
      <c r="T41" s="4" t="s">
        <v>60</v>
      </c>
      <c r="U41" s="5">
        <v>7254</v>
      </c>
      <c r="V41" s="5">
        <v>0</v>
      </c>
      <c r="W41" s="5">
        <v>57826.44</v>
      </c>
      <c r="X41" s="5">
        <v>56706.479999999996</v>
      </c>
      <c r="Y41" s="5">
        <v>78802.11</v>
      </c>
    </row>
    <row r="42" spans="1:25" x14ac:dyDescent="0.25">
      <c r="A42" s="10" t="str">
        <f t="shared" si="7"/>
        <v>A00000009</v>
      </c>
      <c r="B42" s="10" t="str">
        <f t="shared" si="8"/>
        <v>Lina M. Alvarez</v>
      </c>
      <c r="C42" s="10">
        <f t="shared" si="9"/>
        <v>81</v>
      </c>
      <c r="D42" s="10" t="str">
        <f>IF(AND(Y42&gt;=Setup!$A$9,C42&gt;=Setup!$A$10),"Y","N")</f>
        <v>N</v>
      </c>
      <c r="E42" s="21">
        <f>IF(COUNTIF(Setup!A:A, R42) &gt; 0, U42, 0)</f>
        <v>7263</v>
      </c>
      <c r="F42" s="22">
        <f>IF(COUNTIF(Setup!D:D, R42) &gt; 0, U42, 0)</f>
        <v>0</v>
      </c>
      <c r="G42" s="21">
        <f>IF(COUNTIF(Setup!G:G, R42) &gt; 0, U42, 0)</f>
        <v>0</v>
      </c>
      <c r="H42" s="22">
        <f>IF(COUNTIF(Setup!J:J, R42) &gt; 0, U42, 0)</f>
        <v>0</v>
      </c>
      <c r="I42" s="21">
        <f t="shared" si="10"/>
        <v>0</v>
      </c>
      <c r="J42" s="22">
        <f t="shared" si="11"/>
        <v>0</v>
      </c>
      <c r="K42" s="21">
        <f t="shared" si="12"/>
        <v>0</v>
      </c>
      <c r="L42" s="22">
        <f t="shared" si="13"/>
        <v>0</v>
      </c>
      <c r="M42" s="21">
        <f>IF(D42="Y",MAX(0,I42-Setup!$A$8),0)</f>
        <v>0</v>
      </c>
      <c r="N42" s="21">
        <f>IF(D42="Y",MAX(0,K42-Setup!$A$8),0)</f>
        <v>0</v>
      </c>
      <c r="O42" s="4" t="s">
        <v>114</v>
      </c>
      <c r="P42" s="4" t="s">
        <v>114</v>
      </c>
      <c r="Q42" s="4"/>
      <c r="R42" s="4" t="s">
        <v>87</v>
      </c>
      <c r="S42" s="4" t="s">
        <v>59</v>
      </c>
      <c r="T42" s="4" t="s">
        <v>60</v>
      </c>
      <c r="U42" s="5">
        <v>7263</v>
      </c>
      <c r="V42" s="5">
        <v>0</v>
      </c>
      <c r="W42" s="5">
        <v>57826.44</v>
      </c>
      <c r="X42" s="5">
        <v>56706.479999999996</v>
      </c>
      <c r="Y42" s="5">
        <v>78802.11</v>
      </c>
    </row>
    <row r="43" spans="1:25" x14ac:dyDescent="0.25">
      <c r="A43" s="10" t="str">
        <f t="shared" si="7"/>
        <v>A00000009</v>
      </c>
      <c r="B43" s="10" t="str">
        <f t="shared" si="8"/>
        <v>Lina M. Alvarez</v>
      </c>
      <c r="C43" s="10">
        <f t="shared" si="9"/>
        <v>81</v>
      </c>
      <c r="D43" s="10" t="str">
        <f>IF(AND(Y43&gt;=Setup!$A$9,C43&gt;=Setup!$A$10),"Y","N")</f>
        <v>N</v>
      </c>
      <c r="E43" s="21">
        <f>IF(COUNTIF(Setup!A:A, R43) &gt; 0, U43, 0)</f>
        <v>0</v>
      </c>
      <c r="F43" s="22">
        <f>IF(COUNTIF(Setup!D:D, R43) &gt; 0, U43, 0)</f>
        <v>0</v>
      </c>
      <c r="G43" s="21">
        <f>IF(COUNTIF(Setup!G:G, R43) &gt; 0, U43, 0)</f>
        <v>0</v>
      </c>
      <c r="H43" s="22">
        <f>IF(COUNTIF(Setup!J:J, R43) &gt; 0, U43, 0)</f>
        <v>0</v>
      </c>
      <c r="I43" s="21">
        <f t="shared" si="10"/>
        <v>0</v>
      </c>
      <c r="J43" s="22">
        <f t="shared" si="11"/>
        <v>0</v>
      </c>
      <c r="K43" s="21">
        <f t="shared" si="12"/>
        <v>0</v>
      </c>
      <c r="L43" s="22">
        <f t="shared" si="13"/>
        <v>0</v>
      </c>
      <c r="M43" s="21">
        <f>IF(D43="Y",MAX(0,I43-Setup!$A$8),0)</f>
        <v>0</v>
      </c>
      <c r="N43" s="21">
        <f>IF(D43="Y",MAX(0,K43-Setup!$A$8),0)</f>
        <v>0</v>
      </c>
      <c r="O43" s="4" t="s">
        <v>114</v>
      </c>
      <c r="P43" s="4" t="s">
        <v>114</v>
      </c>
      <c r="Q43" s="4"/>
      <c r="R43" s="4" t="s">
        <v>96</v>
      </c>
      <c r="S43" s="4" t="s">
        <v>97</v>
      </c>
      <c r="T43" s="4" t="s">
        <v>65</v>
      </c>
      <c r="U43" s="5">
        <v>0</v>
      </c>
      <c r="V43" s="5">
        <v>497.76</v>
      </c>
      <c r="W43" s="5">
        <v>57826.44</v>
      </c>
      <c r="X43" s="5">
        <v>56706.479999999996</v>
      </c>
      <c r="Y43" s="5">
        <v>78802.11</v>
      </c>
    </row>
    <row r="44" spans="1:25" x14ac:dyDescent="0.25">
      <c r="A44" s="10" t="str">
        <f t="shared" si="7"/>
        <v>A00000009</v>
      </c>
      <c r="B44" s="10" t="str">
        <f t="shared" si="8"/>
        <v>Lina M. Alvarez</v>
      </c>
      <c r="C44" s="10">
        <f t="shared" si="9"/>
        <v>81</v>
      </c>
      <c r="D44" s="10" t="str">
        <f>IF(AND(Y44&gt;=Setup!$A$9,C44&gt;=Setup!$A$10),"Y","N")</f>
        <v>N</v>
      </c>
      <c r="E44" s="21">
        <f>IF(COUNTIF(Setup!A:A, R44) &gt; 0, U44, 0)</f>
        <v>0</v>
      </c>
      <c r="F44" s="22">
        <f>IF(COUNTIF(Setup!D:D, R44) &gt; 0, U44, 0)</f>
        <v>0</v>
      </c>
      <c r="G44" s="21">
        <f>IF(COUNTIF(Setup!G:G, R44) &gt; 0, U44, 0)</f>
        <v>7191</v>
      </c>
      <c r="H44" s="22">
        <f>IF(COUNTIF(Setup!J:J, R44) &gt; 0, U44, 0)</f>
        <v>0</v>
      </c>
      <c r="I44" s="21">
        <f t="shared" si="10"/>
        <v>0</v>
      </c>
      <c r="J44" s="22">
        <f t="shared" si="11"/>
        <v>0</v>
      </c>
      <c r="K44" s="21">
        <f t="shared" si="12"/>
        <v>0</v>
      </c>
      <c r="L44" s="22">
        <f t="shared" si="13"/>
        <v>0</v>
      </c>
      <c r="M44" s="21">
        <f>IF(D44="Y",MAX(0,I44-Setup!$A$8),0)</f>
        <v>0</v>
      </c>
      <c r="N44" s="21">
        <f>IF(D44="Y",MAX(0,K44-Setup!$A$8),0)</f>
        <v>0</v>
      </c>
      <c r="O44" s="4" t="s">
        <v>114</v>
      </c>
      <c r="P44" s="4" t="s">
        <v>114</v>
      </c>
      <c r="Q44" s="4"/>
      <c r="R44" s="4" t="s">
        <v>83</v>
      </c>
      <c r="S44" s="4" t="s">
        <v>84</v>
      </c>
      <c r="T44" s="4" t="s">
        <v>60</v>
      </c>
      <c r="U44" s="5">
        <v>7191</v>
      </c>
      <c r="V44" s="5">
        <v>0</v>
      </c>
      <c r="W44" s="5">
        <v>57826.44</v>
      </c>
      <c r="X44" s="5">
        <v>56706.479999999996</v>
      </c>
      <c r="Y44" s="5">
        <v>78802.11</v>
      </c>
    </row>
    <row r="45" spans="1:25" x14ac:dyDescent="0.25">
      <c r="A45" s="10" t="str">
        <f t="shared" si="7"/>
        <v>A00000010</v>
      </c>
      <c r="B45" s="10" t="str">
        <f t="shared" si="8"/>
        <v>Marcus T. O’Neill</v>
      </c>
      <c r="C45" s="10">
        <f t="shared" si="9"/>
        <v>54</v>
      </c>
      <c r="D45" s="10" t="str">
        <f>IF(AND(Y45&gt;=Setup!$A$9,C45&gt;=Setup!$A$10),"Y","N")</f>
        <v>N</v>
      </c>
      <c r="E45" s="21">
        <f>IF(COUNTIF(Setup!A:A, R45) &gt; 0, U45, 0)</f>
        <v>0</v>
      </c>
      <c r="F45" s="22">
        <f>IF(COUNTIF(Setup!D:D, R45) &gt; 0, U45, 0)</f>
        <v>225</v>
      </c>
      <c r="G45" s="21">
        <f>IF(COUNTIF(Setup!G:G, R45) &gt; 0, U45, 0)</f>
        <v>0</v>
      </c>
      <c r="H45" s="22">
        <f>IF(COUNTIF(Setup!J:J, R45) &gt; 0, U45, 0)</f>
        <v>0</v>
      </c>
      <c r="I45" s="21">
        <f t="shared" si="10"/>
        <v>1288.98</v>
      </c>
      <c r="J45" s="22">
        <f t="shared" si="11"/>
        <v>225</v>
      </c>
      <c r="K45" s="21">
        <f t="shared" si="12"/>
        <v>450</v>
      </c>
      <c r="L45" s="22">
        <f t="shared" si="13"/>
        <v>0</v>
      </c>
      <c r="M45" s="21">
        <f>IF(D45="Y",MAX(0,I45-Setup!$A$8),0)</f>
        <v>0</v>
      </c>
      <c r="N45" s="21">
        <f>IF(D45="Y",MAX(0,K45-Setup!$A$8),0)</f>
        <v>0</v>
      </c>
      <c r="O45" s="4" t="s">
        <v>123</v>
      </c>
      <c r="P45" s="4" t="s">
        <v>134</v>
      </c>
      <c r="Q45" s="4">
        <v>54</v>
      </c>
      <c r="R45" s="4" t="s">
        <v>85</v>
      </c>
      <c r="S45" s="4" t="s">
        <v>86</v>
      </c>
      <c r="T45" s="4" t="s">
        <v>60</v>
      </c>
      <c r="U45" s="5">
        <v>225</v>
      </c>
      <c r="V45" s="5">
        <v>0</v>
      </c>
      <c r="W45" s="5">
        <v>38545.26</v>
      </c>
      <c r="X45" s="5">
        <v>31282.199999999997</v>
      </c>
      <c r="Y45" s="5">
        <v>43251.7</v>
      </c>
    </row>
    <row r="46" spans="1:25" x14ac:dyDescent="0.25">
      <c r="A46" s="10" t="str">
        <f t="shared" si="7"/>
        <v>A00000010</v>
      </c>
      <c r="B46" s="10" t="str">
        <f t="shared" si="8"/>
        <v>Marcus T. O’Neill</v>
      </c>
      <c r="C46" s="10">
        <f t="shared" si="9"/>
        <v>54</v>
      </c>
      <c r="D46" s="10" t="str">
        <f>IF(AND(Y46&gt;=Setup!$A$9,C46&gt;=Setup!$A$10),"Y","N")</f>
        <v>N</v>
      </c>
      <c r="E46" s="21">
        <f>IF(COUNTIF(Setup!A:A, R46) &gt; 0, U46, 0)</f>
        <v>0</v>
      </c>
      <c r="F46" s="22">
        <f>IF(COUNTIF(Setup!D:D, R46) &gt; 0, U46, 0)</f>
        <v>0</v>
      </c>
      <c r="G46" s="21">
        <f>IF(COUNTIF(Setup!G:G, R46) &gt; 0, U46, 0)</f>
        <v>0</v>
      </c>
      <c r="H46" s="22">
        <f>IF(COUNTIF(Setup!J:J, R46) &gt; 0, U46, 0)</f>
        <v>0</v>
      </c>
      <c r="I46" s="21">
        <f t="shared" si="10"/>
        <v>0</v>
      </c>
      <c r="J46" s="22">
        <f t="shared" si="11"/>
        <v>0</v>
      </c>
      <c r="K46" s="21">
        <f t="shared" si="12"/>
        <v>0</v>
      </c>
      <c r="L46" s="22">
        <f t="shared" si="13"/>
        <v>0</v>
      </c>
      <c r="M46" s="21">
        <f>IF(D46="Y",MAX(0,I46-Setup!$A$8),0)</f>
        <v>0</v>
      </c>
      <c r="N46" s="21">
        <f>IF(D46="Y",MAX(0,K46-Setup!$A$8),0)</f>
        <v>0</v>
      </c>
      <c r="O46" s="4" t="s">
        <v>114</v>
      </c>
      <c r="P46" s="4" t="s">
        <v>114</v>
      </c>
      <c r="Q46" s="4"/>
      <c r="R46" s="4" t="s">
        <v>74</v>
      </c>
      <c r="S46" s="4" t="s">
        <v>75</v>
      </c>
      <c r="T46" s="4"/>
      <c r="U46" s="5">
        <v>1074.42</v>
      </c>
      <c r="V46" s="5">
        <v>0</v>
      </c>
      <c r="W46" s="5">
        <v>38545.26</v>
      </c>
      <c r="X46" s="5">
        <v>31282.199999999997</v>
      </c>
      <c r="Y46" s="5">
        <v>43251.7</v>
      </c>
    </row>
    <row r="47" spans="1:25" x14ac:dyDescent="0.25">
      <c r="A47" s="10" t="str">
        <f t="shared" si="7"/>
        <v>A00000010</v>
      </c>
      <c r="B47" s="10" t="str">
        <f t="shared" si="8"/>
        <v>Marcus T. O’Neill</v>
      </c>
      <c r="C47" s="10">
        <f t="shared" si="9"/>
        <v>54</v>
      </c>
      <c r="D47" s="10" t="str">
        <f>IF(AND(Y47&gt;=Setup!$A$9,C47&gt;=Setup!$A$10),"Y","N")</f>
        <v>N</v>
      </c>
      <c r="E47" s="21">
        <f>IF(COUNTIF(Setup!A:A, R47) &gt; 0, U47, 0)</f>
        <v>0</v>
      </c>
      <c r="F47" s="22">
        <f>IF(COUNTIF(Setup!D:D, R47) &gt; 0, U47, 0)</f>
        <v>0</v>
      </c>
      <c r="G47" s="21">
        <f>IF(COUNTIF(Setup!G:G, R47) &gt; 0, U47, 0)</f>
        <v>450</v>
      </c>
      <c r="H47" s="22">
        <f>IF(COUNTIF(Setup!J:J, R47) &gt; 0, U47, 0)</f>
        <v>0</v>
      </c>
      <c r="I47" s="21">
        <f t="shared" si="10"/>
        <v>0</v>
      </c>
      <c r="J47" s="22">
        <f t="shared" si="11"/>
        <v>0</v>
      </c>
      <c r="K47" s="21">
        <f t="shared" si="12"/>
        <v>0</v>
      </c>
      <c r="L47" s="22">
        <f t="shared" si="13"/>
        <v>0</v>
      </c>
      <c r="M47" s="21">
        <f>IF(D47="Y",MAX(0,I47-Setup!$A$8),0)</f>
        <v>0</v>
      </c>
      <c r="N47" s="21">
        <f>IF(D47="Y",MAX(0,K47-Setup!$A$8),0)</f>
        <v>0</v>
      </c>
      <c r="O47" s="4" t="s">
        <v>114</v>
      </c>
      <c r="P47" s="4" t="s">
        <v>114</v>
      </c>
      <c r="Q47" s="4"/>
      <c r="R47" s="4" t="s">
        <v>83</v>
      </c>
      <c r="S47" s="4" t="s">
        <v>84</v>
      </c>
      <c r="T47" s="4" t="s">
        <v>60</v>
      </c>
      <c r="U47" s="5">
        <v>450</v>
      </c>
      <c r="V47" s="5">
        <v>0</v>
      </c>
      <c r="W47" s="5">
        <v>38545.26</v>
      </c>
      <c r="X47" s="5">
        <v>31282.199999999997</v>
      </c>
      <c r="Y47" s="5">
        <v>43251.7</v>
      </c>
    </row>
    <row r="48" spans="1:25" x14ac:dyDescent="0.25">
      <c r="A48" s="10" t="str">
        <f t="shared" si="7"/>
        <v>A00000010</v>
      </c>
      <c r="B48" s="10" t="str">
        <f t="shared" si="8"/>
        <v>Marcus T. O’Neill</v>
      </c>
      <c r="C48" s="10">
        <f t="shared" si="9"/>
        <v>54</v>
      </c>
      <c r="D48" s="10" t="str">
        <f>IF(AND(Y48&gt;=Setup!$A$9,C48&gt;=Setup!$A$10),"Y","N")</f>
        <v>N</v>
      </c>
      <c r="E48" s="21">
        <f>IF(COUNTIF(Setup!A:A, R48) &gt; 0, U48, 0)</f>
        <v>0</v>
      </c>
      <c r="F48" s="22">
        <f>IF(COUNTIF(Setup!D:D, R48) &gt; 0, U48, 0)</f>
        <v>0</v>
      </c>
      <c r="G48" s="21">
        <f>IF(COUNTIF(Setup!G:G, R48) &gt; 0, U48, 0)</f>
        <v>0</v>
      </c>
      <c r="H48" s="22">
        <f>IF(COUNTIF(Setup!J:J, R48) &gt; 0, U48, 0)</f>
        <v>0</v>
      </c>
      <c r="I48" s="21">
        <f t="shared" si="10"/>
        <v>0</v>
      </c>
      <c r="J48" s="22">
        <f t="shared" si="11"/>
        <v>0</v>
      </c>
      <c r="K48" s="21">
        <f t="shared" si="12"/>
        <v>0</v>
      </c>
      <c r="L48" s="22">
        <f t="shared" si="13"/>
        <v>0</v>
      </c>
      <c r="M48" s="21">
        <f>IF(D48="Y",MAX(0,I48-Setup!$A$8),0)</f>
        <v>0</v>
      </c>
      <c r="N48" s="21">
        <f>IF(D48="Y",MAX(0,K48-Setup!$A$8),0)</f>
        <v>0</v>
      </c>
      <c r="O48" s="4" t="s">
        <v>114</v>
      </c>
      <c r="P48" s="4" t="s">
        <v>114</v>
      </c>
      <c r="Q48" s="4"/>
      <c r="R48" s="4" t="s">
        <v>71</v>
      </c>
      <c r="S48" s="4" t="s">
        <v>72</v>
      </c>
      <c r="T48" s="4"/>
      <c r="U48" s="5">
        <v>0</v>
      </c>
      <c r="V48" s="5">
        <v>88.65</v>
      </c>
      <c r="W48" s="5">
        <v>35463.06</v>
      </c>
      <c r="X48" s="5">
        <v>31282.199999999997</v>
      </c>
      <c r="Y48" s="5">
        <v>43251.7</v>
      </c>
    </row>
    <row r="49" spans="1:25" x14ac:dyDescent="0.25">
      <c r="A49" s="10" t="str">
        <f t="shared" si="7"/>
        <v>A00000010</v>
      </c>
      <c r="B49" s="10" t="str">
        <f t="shared" si="8"/>
        <v>Marcus T. O’Neill</v>
      </c>
      <c r="C49" s="10">
        <f t="shared" si="9"/>
        <v>54</v>
      </c>
      <c r="D49" s="10" t="str">
        <f>IF(AND(Y49&gt;=Setup!$A$9,C49&gt;=Setup!$A$10),"Y","N")</f>
        <v>N</v>
      </c>
      <c r="E49" s="21">
        <f>IF(COUNTIF(Setup!A:A, R49) &gt; 0, U49, 0)</f>
        <v>0</v>
      </c>
      <c r="F49" s="22">
        <f>IF(COUNTIF(Setup!D:D, R49) &gt; 0, U49, 0)</f>
        <v>0</v>
      </c>
      <c r="G49" s="21">
        <f>IF(COUNTIF(Setup!G:G, R49) &gt; 0, U49, 0)</f>
        <v>0</v>
      </c>
      <c r="H49" s="22">
        <f>IF(COUNTIF(Setup!J:J, R49) &gt; 0, U49, 0)</f>
        <v>0</v>
      </c>
      <c r="I49" s="21">
        <f t="shared" si="10"/>
        <v>0</v>
      </c>
      <c r="J49" s="22">
        <f t="shared" si="11"/>
        <v>0</v>
      </c>
      <c r="K49" s="21">
        <f t="shared" si="12"/>
        <v>0</v>
      </c>
      <c r="L49" s="22">
        <f t="shared" si="13"/>
        <v>0</v>
      </c>
      <c r="M49" s="21">
        <f>IF(D49="Y",MAX(0,I49-Setup!$A$8),0)</f>
        <v>0</v>
      </c>
      <c r="N49" s="21">
        <f>IF(D49="Y",MAX(0,K49-Setup!$A$8),0)</f>
        <v>0</v>
      </c>
      <c r="O49" s="4" t="s">
        <v>114</v>
      </c>
      <c r="P49" s="4" t="s">
        <v>114</v>
      </c>
      <c r="Q49" s="4"/>
      <c r="R49" s="4" t="s">
        <v>69</v>
      </c>
      <c r="S49" s="4" t="s">
        <v>70</v>
      </c>
      <c r="T49" s="4"/>
      <c r="U49" s="5">
        <v>0</v>
      </c>
      <c r="V49" s="5">
        <v>1311.54</v>
      </c>
      <c r="W49" s="5">
        <v>35463.06</v>
      </c>
      <c r="X49" s="5">
        <v>31282.199999999997</v>
      </c>
      <c r="Y49" s="5">
        <v>43251.7</v>
      </c>
    </row>
    <row r="50" spans="1:25" x14ac:dyDescent="0.25">
      <c r="A50" s="10" t="str">
        <f t="shared" si="7"/>
        <v>A00000010</v>
      </c>
      <c r="B50" s="10" t="str">
        <f t="shared" si="8"/>
        <v>Marcus T. O’Neill</v>
      </c>
      <c r="C50" s="10">
        <f t="shared" si="9"/>
        <v>54</v>
      </c>
      <c r="D50" s="10" t="str">
        <f>IF(AND(Y50&gt;=Setup!$A$9,C50&gt;=Setup!$A$10),"Y","N")</f>
        <v>N</v>
      </c>
      <c r="E50" s="21">
        <f>IF(COUNTIF(Setup!A:A, R50) &gt; 0, U50, 0)</f>
        <v>225</v>
      </c>
      <c r="F50" s="22">
        <f>IF(COUNTIF(Setup!D:D, R50) &gt; 0, U50, 0)</f>
        <v>0</v>
      </c>
      <c r="G50" s="21">
        <f>IF(COUNTIF(Setup!G:G, R50) &gt; 0, U50, 0)</f>
        <v>0</v>
      </c>
      <c r="H50" s="22">
        <f>IF(COUNTIF(Setup!J:J, R50) &gt; 0, U50, 0)</f>
        <v>0</v>
      </c>
      <c r="I50" s="21">
        <f t="shared" si="10"/>
        <v>0</v>
      </c>
      <c r="J50" s="22">
        <f t="shared" si="11"/>
        <v>0</v>
      </c>
      <c r="K50" s="21">
        <f t="shared" si="12"/>
        <v>0</v>
      </c>
      <c r="L50" s="22">
        <f t="shared" si="13"/>
        <v>0</v>
      </c>
      <c r="M50" s="21">
        <f>IF(D50="Y",MAX(0,I50-Setup!$A$8),0)</f>
        <v>0</v>
      </c>
      <c r="N50" s="21">
        <f>IF(D50="Y",MAX(0,K50-Setup!$A$8),0)</f>
        <v>0</v>
      </c>
      <c r="O50" s="4" t="s">
        <v>114</v>
      </c>
      <c r="P50" s="4" t="s">
        <v>114</v>
      </c>
      <c r="Q50" s="4"/>
      <c r="R50" s="4" t="s">
        <v>73</v>
      </c>
      <c r="S50" s="4" t="s">
        <v>62</v>
      </c>
      <c r="T50" s="4" t="s">
        <v>60</v>
      </c>
      <c r="U50" s="5">
        <v>225</v>
      </c>
      <c r="V50" s="5">
        <v>0</v>
      </c>
      <c r="W50" s="5">
        <v>38545.26</v>
      </c>
      <c r="X50" s="5">
        <v>31282.199999999997</v>
      </c>
      <c r="Y50" s="5">
        <v>43251.7</v>
      </c>
    </row>
    <row r="51" spans="1:25" x14ac:dyDescent="0.25">
      <c r="A51" s="10" t="str">
        <f t="shared" si="7"/>
        <v>A00000010</v>
      </c>
      <c r="B51" s="10" t="str">
        <f t="shared" si="8"/>
        <v>Marcus T. O’Neill</v>
      </c>
      <c r="C51" s="10">
        <f t="shared" si="9"/>
        <v>54</v>
      </c>
      <c r="D51" s="10" t="str">
        <f>IF(AND(Y51&gt;=Setup!$A$9,C51&gt;=Setup!$A$10),"Y","N")</f>
        <v>N</v>
      </c>
      <c r="E51" s="21">
        <f>IF(COUNTIF(Setup!A:A, R51) &gt; 0, U51, 0)</f>
        <v>1063.98</v>
      </c>
      <c r="F51" s="22">
        <f>IF(COUNTIF(Setup!D:D, R51) &gt; 0, U51, 0)</f>
        <v>0</v>
      </c>
      <c r="G51" s="21">
        <f>IF(COUNTIF(Setup!G:G, R51) &gt; 0, U51, 0)</f>
        <v>0</v>
      </c>
      <c r="H51" s="22">
        <f>IF(COUNTIF(Setup!J:J, R51) &gt; 0, U51, 0)</f>
        <v>0</v>
      </c>
      <c r="I51" s="21">
        <f t="shared" si="10"/>
        <v>0</v>
      </c>
      <c r="J51" s="22">
        <f t="shared" si="11"/>
        <v>0</v>
      </c>
      <c r="K51" s="21">
        <f t="shared" si="12"/>
        <v>0</v>
      </c>
      <c r="L51" s="22">
        <f t="shared" si="13"/>
        <v>0</v>
      </c>
      <c r="M51" s="21">
        <f>IF(D51="Y",MAX(0,I51-Setup!$A$8),0)</f>
        <v>0</v>
      </c>
      <c r="N51" s="21">
        <f>IF(D51="Y",MAX(0,K51-Setup!$A$8),0)</f>
        <v>0</v>
      </c>
      <c r="O51" s="4" t="s">
        <v>114</v>
      </c>
      <c r="P51" s="4" t="s">
        <v>114</v>
      </c>
      <c r="Q51" s="4"/>
      <c r="R51" s="4" t="s">
        <v>58</v>
      </c>
      <c r="S51" s="4" t="s">
        <v>59</v>
      </c>
      <c r="T51" s="4" t="s">
        <v>60</v>
      </c>
      <c r="U51" s="5">
        <v>1063.98</v>
      </c>
      <c r="V51" s="5">
        <v>0</v>
      </c>
      <c r="W51" s="5">
        <v>35463.06</v>
      </c>
      <c r="X51" s="5">
        <v>31282.199999999997</v>
      </c>
      <c r="Y51" s="5">
        <v>43251.7</v>
      </c>
    </row>
    <row r="52" spans="1:25" x14ac:dyDescent="0.25">
      <c r="A52" s="10" t="str">
        <f t="shared" si="7"/>
        <v>A00000011</v>
      </c>
      <c r="B52" s="10" t="str">
        <f t="shared" si="8"/>
        <v>Melissa Anne Carter</v>
      </c>
      <c r="C52" s="10">
        <f t="shared" si="9"/>
        <v>59</v>
      </c>
      <c r="D52" s="10" t="str">
        <f>IF(AND(Y52&gt;=Setup!$A$9,C52&gt;=Setup!$A$10),"Y","N")</f>
        <v>N</v>
      </c>
      <c r="E52" s="21">
        <f>IF(COUNTIF(Setup!A:A, R52) &gt; 0, U52, 0)</f>
        <v>0</v>
      </c>
      <c r="F52" s="22">
        <f>IF(COUNTIF(Setup!D:D, R52) &gt; 0, U52, 0)</f>
        <v>0</v>
      </c>
      <c r="G52" s="21">
        <f>IF(COUNTIF(Setup!G:G, R52) &gt; 0, U52, 0)</f>
        <v>911.69999999999993</v>
      </c>
      <c r="H52" s="22">
        <f>IF(COUNTIF(Setup!J:J, R52) &gt; 0, U52, 0)</f>
        <v>0</v>
      </c>
      <c r="I52" s="21">
        <f t="shared" si="10"/>
        <v>3155.76</v>
      </c>
      <c r="J52" s="22">
        <f t="shared" si="11"/>
        <v>0</v>
      </c>
      <c r="K52" s="21">
        <f t="shared" si="12"/>
        <v>911.69999999999993</v>
      </c>
      <c r="L52" s="22">
        <f t="shared" si="13"/>
        <v>0</v>
      </c>
      <c r="M52" s="21">
        <f>IF(D52="Y",MAX(0,I52-Setup!$A$8),0)</f>
        <v>0</v>
      </c>
      <c r="N52" s="21">
        <f>IF(D52="Y",MAX(0,K52-Setup!$A$8),0)</f>
        <v>0</v>
      </c>
      <c r="O52" s="4" t="s">
        <v>124</v>
      </c>
      <c r="P52" s="4" t="s">
        <v>144</v>
      </c>
      <c r="Q52" s="4">
        <v>59</v>
      </c>
      <c r="R52" s="4" t="s">
        <v>102</v>
      </c>
      <c r="S52" s="4" t="s">
        <v>99</v>
      </c>
      <c r="T52" s="4" t="s">
        <v>60</v>
      </c>
      <c r="U52" s="5">
        <v>911.69999999999993</v>
      </c>
      <c r="V52" s="5">
        <v>0</v>
      </c>
      <c r="W52" s="5">
        <v>45583.56</v>
      </c>
      <c r="X52" s="5">
        <v>41343.300000000003</v>
      </c>
      <c r="Y52" s="5">
        <v>56481.68</v>
      </c>
    </row>
    <row r="53" spans="1:25" x14ac:dyDescent="0.25">
      <c r="A53" s="10" t="str">
        <f t="shared" si="7"/>
        <v>A00000011</v>
      </c>
      <c r="B53" s="10" t="str">
        <f t="shared" si="8"/>
        <v>Melissa Anne Carter</v>
      </c>
      <c r="C53" s="10">
        <f t="shared" si="9"/>
        <v>59</v>
      </c>
      <c r="D53" s="10" t="str">
        <f>IF(AND(Y53&gt;=Setup!$A$9,C53&gt;=Setup!$A$10),"Y","N")</f>
        <v>N</v>
      </c>
      <c r="E53" s="21">
        <f>IF(COUNTIF(Setup!A:A, R53) &gt; 0, U53, 0)</f>
        <v>455.76</v>
      </c>
      <c r="F53" s="22">
        <f>IF(COUNTIF(Setup!D:D, R53) &gt; 0, U53, 0)</f>
        <v>0</v>
      </c>
      <c r="G53" s="21">
        <f>IF(COUNTIF(Setup!G:G, R53) &gt; 0, U53, 0)</f>
        <v>0</v>
      </c>
      <c r="H53" s="22">
        <f>IF(COUNTIF(Setup!J:J, R53) &gt; 0, U53, 0)</f>
        <v>0</v>
      </c>
      <c r="I53" s="21">
        <f t="shared" si="10"/>
        <v>0</v>
      </c>
      <c r="J53" s="22">
        <f t="shared" si="11"/>
        <v>0</v>
      </c>
      <c r="K53" s="21">
        <f t="shared" si="12"/>
        <v>0</v>
      </c>
      <c r="L53" s="22">
        <f t="shared" si="13"/>
        <v>0</v>
      </c>
      <c r="M53" s="21">
        <f>IF(D53="Y",MAX(0,I53-Setup!$A$8),0)</f>
        <v>0</v>
      </c>
      <c r="N53" s="21">
        <f>IF(D53="Y",MAX(0,K53-Setup!$A$8),0)</f>
        <v>0</v>
      </c>
      <c r="O53" s="4" t="s">
        <v>114</v>
      </c>
      <c r="P53" s="4" t="s">
        <v>114</v>
      </c>
      <c r="Q53" s="4"/>
      <c r="R53" s="4" t="s">
        <v>61</v>
      </c>
      <c r="S53" s="4" t="s">
        <v>62</v>
      </c>
      <c r="T53" s="4" t="s">
        <v>60</v>
      </c>
      <c r="U53" s="5">
        <v>455.76</v>
      </c>
      <c r="V53" s="5">
        <v>0</v>
      </c>
      <c r="W53" s="5">
        <v>45583.56</v>
      </c>
      <c r="X53" s="5">
        <v>41343.300000000003</v>
      </c>
      <c r="Y53" s="5">
        <v>56481.68</v>
      </c>
    </row>
    <row r="54" spans="1:25" x14ac:dyDescent="0.25">
      <c r="A54" s="10" t="str">
        <f t="shared" si="7"/>
        <v>A00000011</v>
      </c>
      <c r="B54" s="10" t="str">
        <f t="shared" si="8"/>
        <v>Melissa Anne Carter</v>
      </c>
      <c r="C54" s="10">
        <f t="shared" si="9"/>
        <v>59</v>
      </c>
      <c r="D54" s="10" t="str">
        <f>IF(AND(Y54&gt;=Setup!$A$9,C54&gt;=Setup!$A$10),"Y","N")</f>
        <v>N</v>
      </c>
      <c r="E54" s="21">
        <f>IF(COUNTIF(Setup!A:A, R54) &gt; 0, U54, 0)</f>
        <v>900</v>
      </c>
      <c r="F54" s="22">
        <f>IF(COUNTIF(Setup!D:D, R54) &gt; 0, U54, 0)</f>
        <v>0</v>
      </c>
      <c r="G54" s="21">
        <f>IF(COUNTIF(Setup!G:G, R54) &gt; 0, U54, 0)</f>
        <v>0</v>
      </c>
      <c r="H54" s="22">
        <f>IF(COUNTIF(Setup!J:J, R54) &gt; 0, U54, 0)</f>
        <v>0</v>
      </c>
      <c r="I54" s="21">
        <f t="shared" si="10"/>
        <v>0</v>
      </c>
      <c r="J54" s="22">
        <f t="shared" si="11"/>
        <v>0</v>
      </c>
      <c r="K54" s="21">
        <f t="shared" si="12"/>
        <v>0</v>
      </c>
      <c r="L54" s="22">
        <f t="shared" si="13"/>
        <v>0</v>
      </c>
      <c r="M54" s="21">
        <f>IF(D54="Y",MAX(0,I54-Setup!$A$8),0)</f>
        <v>0</v>
      </c>
      <c r="N54" s="21">
        <f>IF(D54="Y",MAX(0,K54-Setup!$A$8),0)</f>
        <v>0</v>
      </c>
      <c r="O54" s="4" t="s">
        <v>114</v>
      </c>
      <c r="P54" s="4" t="s">
        <v>114</v>
      </c>
      <c r="Q54" s="4"/>
      <c r="R54" s="4" t="s">
        <v>87</v>
      </c>
      <c r="S54" s="4" t="s">
        <v>59</v>
      </c>
      <c r="T54" s="4" t="s">
        <v>60</v>
      </c>
      <c r="U54" s="5">
        <v>900</v>
      </c>
      <c r="V54" s="5">
        <v>0</v>
      </c>
      <c r="W54" s="5">
        <v>57078.36</v>
      </c>
      <c r="X54" s="5">
        <v>41343.300000000003</v>
      </c>
      <c r="Y54" s="5">
        <v>56481.68</v>
      </c>
    </row>
    <row r="55" spans="1:25" x14ac:dyDescent="0.25">
      <c r="A55" s="10" t="str">
        <f t="shared" si="7"/>
        <v>A00000011</v>
      </c>
      <c r="B55" s="10" t="str">
        <f t="shared" si="8"/>
        <v>Melissa Anne Carter</v>
      </c>
      <c r="C55" s="10">
        <f t="shared" si="9"/>
        <v>59</v>
      </c>
      <c r="D55" s="10" t="str">
        <f>IF(AND(Y55&gt;=Setup!$A$9,C55&gt;=Setup!$A$10),"Y","N")</f>
        <v>N</v>
      </c>
      <c r="E55" s="21">
        <f>IF(COUNTIF(Setup!A:A, R55) &gt; 0, U55, 0)</f>
        <v>900</v>
      </c>
      <c r="F55" s="22">
        <f>IF(COUNTIF(Setup!D:D, R55) &gt; 0, U55, 0)</f>
        <v>0</v>
      </c>
      <c r="G55" s="21">
        <f>IF(COUNTIF(Setup!G:G, R55) &gt; 0, U55, 0)</f>
        <v>0</v>
      </c>
      <c r="H55" s="22">
        <f>IF(COUNTIF(Setup!J:J, R55) &gt; 0, U55, 0)</f>
        <v>0</v>
      </c>
      <c r="I55" s="21">
        <f t="shared" si="10"/>
        <v>0</v>
      </c>
      <c r="J55" s="22">
        <f t="shared" si="11"/>
        <v>0</v>
      </c>
      <c r="K55" s="21">
        <f t="shared" si="12"/>
        <v>0</v>
      </c>
      <c r="L55" s="22">
        <f t="shared" si="13"/>
        <v>0</v>
      </c>
      <c r="M55" s="21">
        <f>IF(D55="Y",MAX(0,I55-Setup!$A$8),0)</f>
        <v>0</v>
      </c>
      <c r="N55" s="21">
        <f>IF(D55="Y",MAX(0,K55-Setup!$A$8),0)</f>
        <v>0</v>
      </c>
      <c r="O55" s="4" t="s">
        <v>114</v>
      </c>
      <c r="P55" s="4" t="s">
        <v>114</v>
      </c>
      <c r="Q55" s="4"/>
      <c r="R55" s="4" t="s">
        <v>94</v>
      </c>
      <c r="S55" s="4" t="s">
        <v>80</v>
      </c>
      <c r="T55" s="4" t="s">
        <v>60</v>
      </c>
      <c r="U55" s="5">
        <v>900</v>
      </c>
      <c r="V55" s="5">
        <v>0</v>
      </c>
      <c r="W55" s="5">
        <v>57078.36</v>
      </c>
      <c r="X55" s="5">
        <v>41343.300000000003</v>
      </c>
      <c r="Y55" s="5">
        <v>56481.68</v>
      </c>
    </row>
    <row r="56" spans="1:25" x14ac:dyDescent="0.25">
      <c r="A56" s="10" t="str">
        <f t="shared" si="7"/>
        <v>A00000011</v>
      </c>
      <c r="B56" s="10" t="str">
        <f t="shared" si="8"/>
        <v>Melissa Anne Carter</v>
      </c>
      <c r="C56" s="10">
        <f t="shared" si="9"/>
        <v>59</v>
      </c>
      <c r="D56" s="10" t="str">
        <f>IF(AND(Y56&gt;=Setup!$A$9,C56&gt;=Setup!$A$10),"Y","N")</f>
        <v>N</v>
      </c>
      <c r="E56" s="21">
        <f>IF(COUNTIF(Setup!A:A, R56) &gt; 0, U56, 0)</f>
        <v>0</v>
      </c>
      <c r="F56" s="22">
        <f>IF(COUNTIF(Setup!D:D, R56) &gt; 0, U56, 0)</f>
        <v>0</v>
      </c>
      <c r="G56" s="21">
        <f>IF(COUNTIF(Setup!G:G, R56) &gt; 0, U56, 0)</f>
        <v>0</v>
      </c>
      <c r="H56" s="22">
        <f>IF(COUNTIF(Setup!J:J, R56) &gt; 0, U56, 0)</f>
        <v>0</v>
      </c>
      <c r="I56" s="21">
        <f t="shared" si="10"/>
        <v>0</v>
      </c>
      <c r="J56" s="22">
        <f t="shared" si="11"/>
        <v>0</v>
      </c>
      <c r="K56" s="21">
        <f t="shared" si="12"/>
        <v>0</v>
      </c>
      <c r="L56" s="22">
        <f t="shared" si="13"/>
        <v>0</v>
      </c>
      <c r="M56" s="21">
        <f>IF(D56="Y",MAX(0,I56-Setup!$A$8),0)</f>
        <v>0</v>
      </c>
      <c r="N56" s="21">
        <f>IF(D56="Y",MAX(0,K56-Setup!$A$8),0)</f>
        <v>0</v>
      </c>
      <c r="O56" s="4" t="s">
        <v>114</v>
      </c>
      <c r="P56" s="4" t="s">
        <v>114</v>
      </c>
      <c r="Q56" s="4"/>
      <c r="R56" s="4" t="s">
        <v>69</v>
      </c>
      <c r="S56" s="4" t="s">
        <v>70</v>
      </c>
      <c r="T56" s="4"/>
      <c r="U56" s="5">
        <v>0</v>
      </c>
      <c r="V56" s="5">
        <v>1685.82</v>
      </c>
      <c r="W56" s="5">
        <v>45583.56</v>
      </c>
      <c r="X56" s="5">
        <v>41343.300000000003</v>
      </c>
      <c r="Y56" s="5">
        <v>56481.68</v>
      </c>
    </row>
    <row r="57" spans="1:25" x14ac:dyDescent="0.25">
      <c r="A57" s="10" t="str">
        <f t="shared" si="7"/>
        <v>A00000011</v>
      </c>
      <c r="B57" s="10" t="str">
        <f t="shared" si="8"/>
        <v>Melissa Anne Carter</v>
      </c>
      <c r="C57" s="10">
        <f t="shared" si="9"/>
        <v>59</v>
      </c>
      <c r="D57" s="10" t="str">
        <f>IF(AND(Y57&gt;=Setup!$A$9,C57&gt;=Setup!$A$10),"Y","N")</f>
        <v>N</v>
      </c>
      <c r="E57" s="21">
        <f>IF(COUNTIF(Setup!A:A, R57) &gt; 0, U57, 0)</f>
        <v>900</v>
      </c>
      <c r="F57" s="22">
        <f>IF(COUNTIF(Setup!D:D, R57) &gt; 0, U57, 0)</f>
        <v>0</v>
      </c>
      <c r="G57" s="21">
        <f>IF(COUNTIF(Setup!G:G, R57) &gt; 0, U57, 0)</f>
        <v>0</v>
      </c>
      <c r="H57" s="22">
        <f>IF(COUNTIF(Setup!J:J, R57) &gt; 0, U57, 0)</f>
        <v>0</v>
      </c>
      <c r="I57" s="21">
        <f t="shared" si="10"/>
        <v>0</v>
      </c>
      <c r="J57" s="22">
        <f t="shared" si="11"/>
        <v>0</v>
      </c>
      <c r="K57" s="21">
        <f t="shared" si="12"/>
        <v>0</v>
      </c>
      <c r="L57" s="22">
        <f t="shared" si="13"/>
        <v>0</v>
      </c>
      <c r="M57" s="21">
        <f>IF(D57="Y",MAX(0,I57-Setup!$A$8),0)</f>
        <v>0</v>
      </c>
      <c r="N57" s="21">
        <f>IF(D57="Y",MAX(0,K57-Setup!$A$8),0)</f>
        <v>0</v>
      </c>
      <c r="O57" s="4" t="s">
        <v>114</v>
      </c>
      <c r="P57" s="4" t="s">
        <v>114</v>
      </c>
      <c r="Q57" s="4"/>
      <c r="R57" s="4" t="s">
        <v>73</v>
      </c>
      <c r="S57" s="4" t="s">
        <v>62</v>
      </c>
      <c r="T57" s="4" t="s">
        <v>60</v>
      </c>
      <c r="U57" s="5">
        <v>900</v>
      </c>
      <c r="V57" s="5">
        <v>0</v>
      </c>
      <c r="W57" s="5">
        <v>57078.36</v>
      </c>
      <c r="X57" s="5">
        <v>41343.300000000003</v>
      </c>
      <c r="Y57" s="5">
        <v>56481.68</v>
      </c>
    </row>
    <row r="58" spans="1:25" x14ac:dyDescent="0.25">
      <c r="A58" s="10" t="str">
        <f t="shared" si="7"/>
        <v>A00000011</v>
      </c>
      <c r="B58" s="10" t="str">
        <f t="shared" si="8"/>
        <v>Melissa Anne Carter</v>
      </c>
      <c r="C58" s="10">
        <f t="shared" si="9"/>
        <v>59</v>
      </c>
      <c r="D58" s="10" t="str">
        <f>IF(AND(Y58&gt;=Setup!$A$9,C58&gt;=Setup!$A$10),"Y","N")</f>
        <v>N</v>
      </c>
      <c r="E58" s="21">
        <f>IF(COUNTIF(Setup!A:A, R58) &gt; 0, U58, 0)</f>
        <v>0</v>
      </c>
      <c r="F58" s="22">
        <f>IF(COUNTIF(Setup!D:D, R58) &gt; 0, U58, 0)</f>
        <v>0</v>
      </c>
      <c r="G58" s="21">
        <f>IF(COUNTIF(Setup!G:G, R58) &gt; 0, U58, 0)</f>
        <v>0</v>
      </c>
      <c r="H58" s="22">
        <f>IF(COUNTIF(Setup!J:J, R58) &gt; 0, U58, 0)</f>
        <v>0</v>
      </c>
      <c r="I58" s="21">
        <f t="shared" si="10"/>
        <v>0</v>
      </c>
      <c r="J58" s="22">
        <f t="shared" si="11"/>
        <v>0</v>
      </c>
      <c r="K58" s="21">
        <f t="shared" si="12"/>
        <v>0</v>
      </c>
      <c r="L58" s="22">
        <f t="shared" si="13"/>
        <v>0</v>
      </c>
      <c r="M58" s="21">
        <f>IF(D58="Y",MAX(0,I58-Setup!$A$8),0)</f>
        <v>0</v>
      </c>
      <c r="N58" s="21">
        <f>IF(D58="Y",MAX(0,K58-Setup!$A$8),0)</f>
        <v>0</v>
      </c>
      <c r="O58" s="4" t="s">
        <v>114</v>
      </c>
      <c r="P58" s="4" t="s">
        <v>114</v>
      </c>
      <c r="Q58" s="4"/>
      <c r="R58" s="4" t="s">
        <v>71</v>
      </c>
      <c r="S58" s="4" t="s">
        <v>72</v>
      </c>
      <c r="T58" s="4"/>
      <c r="U58" s="5">
        <v>0</v>
      </c>
      <c r="V58" s="5">
        <v>113.97</v>
      </c>
      <c r="W58" s="5">
        <v>45583.56</v>
      </c>
      <c r="X58" s="5">
        <v>41343.300000000003</v>
      </c>
      <c r="Y58" s="5">
        <v>56481.68</v>
      </c>
    </row>
    <row r="59" spans="1:25" x14ac:dyDescent="0.25">
      <c r="A59" s="10" t="str">
        <f t="shared" si="7"/>
        <v>A00000012</v>
      </c>
      <c r="B59" s="10" t="str">
        <f t="shared" si="8"/>
        <v>Naomi K. Rosen</v>
      </c>
      <c r="C59" s="10">
        <f t="shared" si="9"/>
        <v>52</v>
      </c>
      <c r="D59" s="10" t="str">
        <f>IF(AND(Y59&gt;=Setup!$A$9,C59&gt;=Setup!$A$10),"Y","N")</f>
        <v>N</v>
      </c>
      <c r="E59" s="21">
        <f>IF(COUNTIF(Setup!A:A, R59) &gt; 0, U59, 0)</f>
        <v>0</v>
      </c>
      <c r="F59" s="22">
        <f>IF(COUNTIF(Setup!D:D, R59) &gt; 0, U59, 0)</f>
        <v>0</v>
      </c>
      <c r="G59" s="21">
        <f>IF(COUNTIF(Setup!G:G, R59) &gt; 0, U59, 0)</f>
        <v>180</v>
      </c>
      <c r="H59" s="22">
        <f>IF(COUNTIF(Setup!J:J, R59) &gt; 0, U59, 0)</f>
        <v>0</v>
      </c>
      <c r="I59" s="21">
        <f t="shared" si="10"/>
        <v>2970</v>
      </c>
      <c r="J59" s="22">
        <f t="shared" si="11"/>
        <v>0</v>
      </c>
      <c r="K59" s="21">
        <f t="shared" si="12"/>
        <v>180</v>
      </c>
      <c r="L59" s="22">
        <f t="shared" si="13"/>
        <v>0</v>
      </c>
      <c r="M59" s="21">
        <f>IF(D59="Y",MAX(0,I59-Setup!$A$8),0)</f>
        <v>0</v>
      </c>
      <c r="N59" s="21">
        <f>IF(D59="Y",MAX(0,K59-Setup!$A$8),0)</f>
        <v>0</v>
      </c>
      <c r="O59" s="4" t="s">
        <v>125</v>
      </c>
      <c r="P59" s="4" t="s">
        <v>145</v>
      </c>
      <c r="Q59" s="4">
        <v>52</v>
      </c>
      <c r="R59" s="4" t="s">
        <v>83</v>
      </c>
      <c r="S59" s="4" t="s">
        <v>84</v>
      </c>
      <c r="T59" s="4" t="s">
        <v>60</v>
      </c>
      <c r="U59" s="5">
        <v>180</v>
      </c>
      <c r="V59" s="5">
        <v>0</v>
      </c>
      <c r="W59" s="5">
        <v>38461.440000000002</v>
      </c>
      <c r="X59" s="5">
        <v>29088.720000000001</v>
      </c>
      <c r="Y59" s="5">
        <v>50158.78</v>
      </c>
    </row>
    <row r="60" spans="1:25" x14ac:dyDescent="0.25">
      <c r="A60" s="10" t="str">
        <f t="shared" si="7"/>
        <v>A00000012</v>
      </c>
      <c r="B60" s="10" t="str">
        <f t="shared" si="8"/>
        <v>Naomi K. Rosen</v>
      </c>
      <c r="C60" s="10">
        <f t="shared" si="9"/>
        <v>52</v>
      </c>
      <c r="D60" s="10" t="str">
        <f>IF(AND(Y60&gt;=Setup!$A$9,C60&gt;=Setup!$A$10),"Y","N")</f>
        <v>N</v>
      </c>
      <c r="E60" s="21">
        <f>IF(COUNTIF(Setup!A:A, R60) &gt; 0, U60, 0)</f>
        <v>2700</v>
      </c>
      <c r="F60" s="22">
        <f>IF(COUNTIF(Setup!D:D, R60) &gt; 0, U60, 0)</f>
        <v>0</v>
      </c>
      <c r="G60" s="21">
        <f>IF(COUNTIF(Setup!G:G, R60) &gt; 0, U60, 0)</f>
        <v>0</v>
      </c>
      <c r="H60" s="22">
        <f>IF(COUNTIF(Setup!J:J, R60) &gt; 0, U60, 0)</f>
        <v>0</v>
      </c>
      <c r="I60" s="21">
        <f t="shared" si="10"/>
        <v>0</v>
      </c>
      <c r="J60" s="22">
        <f t="shared" si="11"/>
        <v>0</v>
      </c>
      <c r="K60" s="21">
        <f t="shared" si="12"/>
        <v>0</v>
      </c>
      <c r="L60" s="22">
        <f t="shared" si="13"/>
        <v>0</v>
      </c>
      <c r="M60" s="21">
        <f>IF(D60="Y",MAX(0,I60-Setup!$A$8),0)</f>
        <v>0</v>
      </c>
      <c r="N60" s="21">
        <f>IF(D60="Y",MAX(0,K60-Setup!$A$8),0)</f>
        <v>0</v>
      </c>
      <c r="O60" s="4" t="s">
        <v>114</v>
      </c>
      <c r="P60" s="4" t="s">
        <v>114</v>
      </c>
      <c r="Q60" s="4"/>
      <c r="R60" s="4" t="s">
        <v>73</v>
      </c>
      <c r="S60" s="4" t="s">
        <v>62</v>
      </c>
      <c r="T60" s="4" t="s">
        <v>60</v>
      </c>
      <c r="U60" s="5">
        <v>2700</v>
      </c>
      <c r="V60" s="5">
        <v>0</v>
      </c>
      <c r="W60" s="5">
        <v>38461.440000000002</v>
      </c>
      <c r="X60" s="5">
        <v>29088.720000000001</v>
      </c>
      <c r="Y60" s="5">
        <v>50158.78</v>
      </c>
    </row>
    <row r="61" spans="1:25" x14ac:dyDescent="0.25">
      <c r="A61" s="10" t="str">
        <f t="shared" si="7"/>
        <v>A00000012</v>
      </c>
      <c r="B61" s="10" t="str">
        <f t="shared" si="8"/>
        <v>Naomi K. Rosen</v>
      </c>
      <c r="C61" s="10">
        <f t="shared" si="9"/>
        <v>52</v>
      </c>
      <c r="D61" s="10" t="str">
        <f>IF(AND(Y61&gt;=Setup!$A$9,C61&gt;=Setup!$A$10),"Y","N")</f>
        <v>N</v>
      </c>
      <c r="E61" s="21">
        <f>IF(COUNTIF(Setup!A:A, R61) &gt; 0, U61, 0)</f>
        <v>0</v>
      </c>
      <c r="F61" s="22">
        <f>IF(COUNTIF(Setup!D:D, R61) &gt; 0, U61, 0)</f>
        <v>0</v>
      </c>
      <c r="G61" s="21">
        <f>IF(COUNTIF(Setup!G:G, R61) &gt; 0, U61, 0)</f>
        <v>0</v>
      </c>
      <c r="H61" s="22">
        <f>IF(COUNTIF(Setup!J:J, R61) &gt; 0, U61, 0)</f>
        <v>0</v>
      </c>
      <c r="I61" s="21">
        <f t="shared" si="10"/>
        <v>0</v>
      </c>
      <c r="J61" s="22">
        <f t="shared" si="11"/>
        <v>0</v>
      </c>
      <c r="K61" s="21">
        <f t="shared" si="12"/>
        <v>0</v>
      </c>
      <c r="L61" s="22">
        <f t="shared" si="13"/>
        <v>0</v>
      </c>
      <c r="M61" s="21">
        <f>IF(D61="Y",MAX(0,I61-Setup!$A$8),0)</f>
        <v>0</v>
      </c>
      <c r="N61" s="21">
        <f>IF(D61="Y",MAX(0,K61-Setup!$A$8),0)</f>
        <v>0</v>
      </c>
      <c r="O61" s="4" t="s">
        <v>114</v>
      </c>
      <c r="P61" s="4" t="s">
        <v>114</v>
      </c>
      <c r="Q61" s="4"/>
      <c r="R61" s="4" t="s">
        <v>76</v>
      </c>
      <c r="S61" s="4" t="s">
        <v>77</v>
      </c>
      <c r="T61" s="4"/>
      <c r="U61" s="5">
        <v>0</v>
      </c>
      <c r="V61" s="5">
        <v>610.5</v>
      </c>
      <c r="W61" s="5">
        <v>36630</v>
      </c>
      <c r="X61" s="5">
        <v>29088.720000000001</v>
      </c>
      <c r="Y61" s="5">
        <v>50158.78</v>
      </c>
    </row>
    <row r="62" spans="1:25" x14ac:dyDescent="0.25">
      <c r="A62" s="10" t="str">
        <f t="shared" si="7"/>
        <v>A00000012</v>
      </c>
      <c r="B62" s="10" t="str">
        <f t="shared" si="8"/>
        <v>Naomi K. Rosen</v>
      </c>
      <c r="C62" s="10">
        <f t="shared" si="9"/>
        <v>52</v>
      </c>
      <c r="D62" s="10" t="str">
        <f>IF(AND(Y62&gt;=Setup!$A$9,C62&gt;=Setup!$A$10),"Y","N")</f>
        <v>N</v>
      </c>
      <c r="E62" s="21">
        <f>IF(COUNTIF(Setup!A:A, R62) &gt; 0, U62, 0)</f>
        <v>270</v>
      </c>
      <c r="F62" s="22">
        <f>IF(COUNTIF(Setup!D:D, R62) &gt; 0, U62, 0)</f>
        <v>0</v>
      </c>
      <c r="G62" s="21">
        <f>IF(COUNTIF(Setup!G:G, R62) &gt; 0, U62, 0)</f>
        <v>0</v>
      </c>
      <c r="H62" s="22">
        <f>IF(COUNTIF(Setup!J:J, R62) &gt; 0, U62, 0)</f>
        <v>0</v>
      </c>
      <c r="I62" s="21">
        <f t="shared" si="10"/>
        <v>0</v>
      </c>
      <c r="J62" s="22">
        <f t="shared" si="11"/>
        <v>0</v>
      </c>
      <c r="K62" s="21">
        <f t="shared" si="12"/>
        <v>0</v>
      </c>
      <c r="L62" s="22">
        <f t="shared" si="13"/>
        <v>0</v>
      </c>
      <c r="M62" s="21">
        <f>IF(D62="Y",MAX(0,I62-Setup!$A$8),0)</f>
        <v>0</v>
      </c>
      <c r="N62" s="21">
        <f>IF(D62="Y",MAX(0,K62-Setup!$A$8),0)</f>
        <v>0</v>
      </c>
      <c r="O62" s="4" t="s">
        <v>114</v>
      </c>
      <c r="P62" s="4" t="s">
        <v>114</v>
      </c>
      <c r="Q62" s="4"/>
      <c r="R62" s="4" t="s">
        <v>87</v>
      </c>
      <c r="S62" s="4" t="s">
        <v>59</v>
      </c>
      <c r="T62" s="4" t="s">
        <v>60</v>
      </c>
      <c r="U62" s="5">
        <v>270</v>
      </c>
      <c r="V62" s="5">
        <v>0</v>
      </c>
      <c r="W62" s="5">
        <v>38461.440000000002</v>
      </c>
      <c r="X62" s="5">
        <v>29088.720000000001</v>
      </c>
      <c r="Y62" s="5">
        <v>50158.78</v>
      </c>
    </row>
    <row r="63" spans="1:25" x14ac:dyDescent="0.25">
      <c r="A63" s="10" t="str">
        <f t="shared" si="7"/>
        <v>A00000012</v>
      </c>
      <c r="B63" s="10" t="str">
        <f t="shared" si="8"/>
        <v>Naomi K. Rosen</v>
      </c>
      <c r="C63" s="10">
        <f t="shared" si="9"/>
        <v>52</v>
      </c>
      <c r="D63" s="10" t="str">
        <f>IF(AND(Y63&gt;=Setup!$A$9,C63&gt;=Setup!$A$10),"Y","N")</f>
        <v>N</v>
      </c>
      <c r="E63" s="21">
        <f>IF(COUNTIF(Setup!A:A, R63) &gt; 0, U63, 0)</f>
        <v>0</v>
      </c>
      <c r="F63" s="22">
        <f>IF(COUNTIF(Setup!D:D, R63) &gt; 0, U63, 0)</f>
        <v>0</v>
      </c>
      <c r="G63" s="21">
        <f>IF(COUNTIF(Setup!G:G, R63) &gt; 0, U63, 0)</f>
        <v>0</v>
      </c>
      <c r="H63" s="22">
        <f>IF(COUNTIF(Setup!J:J, R63) &gt; 0, U63, 0)</f>
        <v>0</v>
      </c>
      <c r="I63" s="21">
        <f t="shared" si="10"/>
        <v>0</v>
      </c>
      <c r="J63" s="22">
        <f t="shared" si="11"/>
        <v>0</v>
      </c>
      <c r="K63" s="21">
        <f t="shared" si="12"/>
        <v>0</v>
      </c>
      <c r="L63" s="22">
        <f t="shared" si="13"/>
        <v>0</v>
      </c>
      <c r="M63" s="21">
        <f>IF(D63="Y",MAX(0,I63-Setup!$A$8),0)</f>
        <v>0</v>
      </c>
      <c r="N63" s="21">
        <f>IF(D63="Y",MAX(0,K63-Setup!$A$8),0)</f>
        <v>0</v>
      </c>
      <c r="O63" s="4" t="s">
        <v>114</v>
      </c>
      <c r="P63" s="4" t="s">
        <v>114</v>
      </c>
      <c r="Q63" s="4"/>
      <c r="R63" s="4" t="s">
        <v>78</v>
      </c>
      <c r="S63" s="4" t="s">
        <v>55</v>
      </c>
      <c r="T63" s="4"/>
      <c r="U63" s="5">
        <v>0</v>
      </c>
      <c r="V63" s="5">
        <v>611.73</v>
      </c>
      <c r="W63" s="5">
        <v>36630</v>
      </c>
      <c r="X63" s="5">
        <v>29088.720000000001</v>
      </c>
      <c r="Y63" s="5">
        <v>50158.78</v>
      </c>
    </row>
    <row r="64" spans="1:25" x14ac:dyDescent="0.25">
      <c r="A64" s="10" t="str">
        <f t="shared" si="7"/>
        <v>A00000013</v>
      </c>
      <c r="B64" s="10" t="str">
        <f t="shared" si="8"/>
        <v>Omar N. Khalid</v>
      </c>
      <c r="C64" s="10">
        <f t="shared" si="9"/>
        <v>52</v>
      </c>
      <c r="D64" s="10" t="str">
        <f>IF(AND(Y64&gt;=Setup!$A$9,C64&gt;=Setup!$A$10),"Y","N")</f>
        <v>Y</v>
      </c>
      <c r="E64" s="21">
        <f>IF(COUNTIF(Setup!A:A, R64) &gt; 0, U64, 0)</f>
        <v>15200</v>
      </c>
      <c r="F64" s="22">
        <f>IF(COUNTIF(Setup!D:D, R64) &gt; 0, U64, 0)</f>
        <v>0</v>
      </c>
      <c r="G64" s="21">
        <f>IF(COUNTIF(Setup!G:G, R64) &gt; 0, U64, 0)</f>
        <v>0</v>
      </c>
      <c r="H64" s="22">
        <f>IF(COUNTIF(Setup!J:J, R64) &gt; 0, U64, 0)</f>
        <v>0</v>
      </c>
      <c r="I64" s="21">
        <f t="shared" si="10"/>
        <v>27770.28</v>
      </c>
      <c r="J64" s="22">
        <f t="shared" si="11"/>
        <v>0</v>
      </c>
      <c r="K64" s="21">
        <f t="shared" si="12"/>
        <v>0</v>
      </c>
      <c r="L64" s="22">
        <f t="shared" si="13"/>
        <v>0</v>
      </c>
      <c r="M64" s="21">
        <f>IF(D64="Y",MAX(0,I64-Setup!$A$8),0)</f>
        <v>3270.2799999999988</v>
      </c>
      <c r="N64" s="21">
        <f>IF(D64="Y",MAX(0,K64-Setup!$A$8),0)</f>
        <v>0</v>
      </c>
      <c r="O64" s="4" t="s">
        <v>126</v>
      </c>
      <c r="P64" s="4" t="s">
        <v>146</v>
      </c>
      <c r="Q64" s="4">
        <v>52</v>
      </c>
      <c r="R64" s="4" t="s">
        <v>94</v>
      </c>
      <c r="S64" s="4" t="s">
        <v>80</v>
      </c>
      <c r="T64" s="4" t="s">
        <v>60</v>
      </c>
      <c r="U64" s="5">
        <v>15200</v>
      </c>
      <c r="V64" s="5">
        <v>0</v>
      </c>
      <c r="W64" s="5">
        <v>173826.72</v>
      </c>
      <c r="X64" s="5">
        <v>171208.26</v>
      </c>
      <c r="Y64" s="5">
        <v>176100</v>
      </c>
    </row>
    <row r="65" spans="1:25" x14ac:dyDescent="0.25">
      <c r="A65" s="10" t="str">
        <f t="shared" si="7"/>
        <v>A00000013</v>
      </c>
      <c r="B65" s="10" t="str">
        <f t="shared" si="8"/>
        <v>Omar N. Khalid</v>
      </c>
      <c r="C65" s="10">
        <f t="shared" si="9"/>
        <v>52</v>
      </c>
      <c r="D65" s="10" t="str">
        <f>IF(AND(Y65&gt;=Setup!$A$9,C65&gt;=Setup!$A$10),"Y","N")</f>
        <v>Y</v>
      </c>
      <c r="E65" s="21">
        <f>IF(COUNTIF(Setup!A:A, R65) &gt; 0, U65, 0)</f>
        <v>0</v>
      </c>
      <c r="F65" s="22">
        <f>IF(COUNTIF(Setup!D:D, R65) &gt; 0, U65, 0)</f>
        <v>0</v>
      </c>
      <c r="G65" s="21">
        <f>IF(COUNTIF(Setup!G:G, R65) &gt; 0, U65, 0)</f>
        <v>0</v>
      </c>
      <c r="H65" s="22">
        <f>IF(COUNTIF(Setup!J:J, R65) &gt; 0, U65, 0)</f>
        <v>0</v>
      </c>
      <c r="I65" s="21">
        <f t="shared" si="10"/>
        <v>0</v>
      </c>
      <c r="J65" s="22">
        <f t="shared" si="11"/>
        <v>0</v>
      </c>
      <c r="K65" s="21">
        <f t="shared" si="12"/>
        <v>0</v>
      </c>
      <c r="L65" s="22">
        <f t="shared" si="13"/>
        <v>0</v>
      </c>
      <c r="M65" s="21">
        <f>IF(D65="Y",MAX(0,I65-Setup!$A$8),0)</f>
        <v>0</v>
      </c>
      <c r="N65" s="21">
        <f>IF(D65="Y",MAX(0,K65-Setup!$A$8),0)</f>
        <v>0</v>
      </c>
      <c r="O65" s="4" t="s">
        <v>114</v>
      </c>
      <c r="P65" s="4" t="s">
        <v>114</v>
      </c>
      <c r="Q65" s="4"/>
      <c r="R65" s="4" t="s">
        <v>88</v>
      </c>
      <c r="S65" s="4" t="s">
        <v>89</v>
      </c>
      <c r="T65" s="4" t="s">
        <v>60</v>
      </c>
      <c r="U65" s="5">
        <v>0</v>
      </c>
      <c r="V65" s="5">
        <v>0</v>
      </c>
      <c r="W65" s="5">
        <v>173826.72</v>
      </c>
      <c r="X65" s="5">
        <v>171208.26</v>
      </c>
      <c r="Y65" s="5">
        <v>176100</v>
      </c>
    </row>
    <row r="66" spans="1:25" x14ac:dyDescent="0.25">
      <c r="A66" s="10" t="str">
        <f t="shared" ref="A66:A99" si="14">IF(O66="",A65,O66)</f>
        <v>A00000013</v>
      </c>
      <c r="B66" s="10" t="str">
        <f t="shared" ref="B66:B99" si="15">IF(P66="",B65,P66)</f>
        <v>Omar N. Khalid</v>
      </c>
      <c r="C66" s="10">
        <f t="shared" ref="C66:C99" si="16">IF(Q66="",C65,Q66)</f>
        <v>52</v>
      </c>
      <c r="D66" s="10" t="str">
        <f>IF(AND(Y66&gt;=Setup!$A$9,C66&gt;=Setup!$A$10),"Y","N")</f>
        <v>Y</v>
      </c>
      <c r="E66" s="21">
        <f>IF(COUNTIF(Setup!A:A, R66) &gt; 0, U66, 0)</f>
        <v>0</v>
      </c>
      <c r="F66" s="22">
        <f>IF(COUNTIF(Setup!D:D, R66) &gt; 0, U66, 0)</f>
        <v>0</v>
      </c>
      <c r="G66" s="21">
        <f>IF(COUNTIF(Setup!G:G, R66) &gt; 0, U66, 0)</f>
        <v>0</v>
      </c>
      <c r="H66" s="22">
        <f>IF(COUNTIF(Setup!J:J, R66) &gt; 0, U66, 0)</f>
        <v>0</v>
      </c>
      <c r="I66" s="21">
        <f t="shared" ref="I66:I99" si="17">SUMIFS(E:E,$A:$A,$O66)</f>
        <v>0</v>
      </c>
      <c r="J66" s="22">
        <f t="shared" ref="J66:J99" si="18">SUMIFS(F:F,$A:$A,$O66)</f>
        <v>0</v>
      </c>
      <c r="K66" s="21">
        <f t="shared" ref="K66:K99" si="19">SUMIFS(G:G,$A:$A,$O66)</f>
        <v>0</v>
      </c>
      <c r="L66" s="22">
        <f t="shared" ref="L66:L99" si="20">SUMIFS(H:H,$A:$A,$O66)</f>
        <v>0</v>
      </c>
      <c r="M66" s="21">
        <f>IF(D66="Y",MAX(0,I66-Setup!$A$8),0)</f>
        <v>0</v>
      </c>
      <c r="N66" s="21">
        <f>IF(D66="Y",MAX(0,K66-Setup!$A$8),0)</f>
        <v>0</v>
      </c>
      <c r="O66" s="4" t="s">
        <v>114</v>
      </c>
      <c r="P66" s="4" t="s">
        <v>114</v>
      </c>
      <c r="Q66" s="4"/>
      <c r="R66" s="4" t="s">
        <v>85</v>
      </c>
      <c r="S66" s="4" t="s">
        <v>86</v>
      </c>
      <c r="T66" s="4" t="s">
        <v>60</v>
      </c>
      <c r="U66" s="5">
        <v>0</v>
      </c>
      <c r="V66" s="5">
        <v>0</v>
      </c>
      <c r="W66" s="5">
        <v>173826.72</v>
      </c>
      <c r="X66" s="5">
        <v>171208.26</v>
      </c>
      <c r="Y66" s="5">
        <v>176100</v>
      </c>
    </row>
    <row r="67" spans="1:25" x14ac:dyDescent="0.25">
      <c r="A67" s="10" t="str">
        <f t="shared" si="14"/>
        <v>A00000013</v>
      </c>
      <c r="B67" s="10" t="str">
        <f t="shared" si="15"/>
        <v>Omar N. Khalid</v>
      </c>
      <c r="C67" s="10">
        <f t="shared" si="16"/>
        <v>52</v>
      </c>
      <c r="D67" s="10" t="str">
        <f>IF(AND(Y67&gt;=Setup!$A$9,C67&gt;=Setup!$A$10),"Y","N")</f>
        <v>Y</v>
      </c>
      <c r="E67" s="21">
        <f>IF(COUNTIF(Setup!A:A, R67) &gt; 0, U67, 0)</f>
        <v>0</v>
      </c>
      <c r="F67" s="22">
        <f>IF(COUNTIF(Setup!D:D, R67) &gt; 0, U67, 0)</f>
        <v>0</v>
      </c>
      <c r="G67" s="21">
        <f>IF(COUNTIF(Setup!G:G, R67) &gt; 0, U67, 0)</f>
        <v>0</v>
      </c>
      <c r="H67" s="22">
        <f>IF(COUNTIF(Setup!J:J, R67) &gt; 0, U67, 0)</f>
        <v>0</v>
      </c>
      <c r="I67" s="21">
        <f t="shared" si="17"/>
        <v>0</v>
      </c>
      <c r="J67" s="22">
        <f t="shared" si="18"/>
        <v>0</v>
      </c>
      <c r="K67" s="21">
        <f t="shared" si="19"/>
        <v>0</v>
      </c>
      <c r="L67" s="22">
        <f t="shared" si="20"/>
        <v>0</v>
      </c>
      <c r="M67" s="21">
        <f>IF(D67="Y",MAX(0,I67-Setup!$A$8),0)</f>
        <v>0</v>
      </c>
      <c r="N67" s="21">
        <f>IF(D67="Y",MAX(0,K67-Setup!$A$8),0)</f>
        <v>0</v>
      </c>
      <c r="O67" s="4" t="s">
        <v>114</v>
      </c>
      <c r="P67" s="4" t="s">
        <v>114</v>
      </c>
      <c r="Q67" s="4"/>
      <c r="R67" s="4" t="s">
        <v>82</v>
      </c>
      <c r="S67" s="4" t="s">
        <v>66</v>
      </c>
      <c r="T67" s="4" t="s">
        <v>60</v>
      </c>
      <c r="U67" s="5">
        <v>0</v>
      </c>
      <c r="V67" s="5">
        <v>0</v>
      </c>
      <c r="W67" s="5">
        <v>173826.72</v>
      </c>
      <c r="X67" s="5">
        <v>171208.26</v>
      </c>
      <c r="Y67" s="5">
        <v>176100</v>
      </c>
    </row>
    <row r="68" spans="1:25" x14ac:dyDescent="0.25">
      <c r="A68" s="10" t="str">
        <f t="shared" si="14"/>
        <v>A00000013</v>
      </c>
      <c r="B68" s="10" t="str">
        <f t="shared" si="15"/>
        <v>Omar N. Khalid</v>
      </c>
      <c r="C68" s="10">
        <f t="shared" si="16"/>
        <v>52</v>
      </c>
      <c r="D68" s="10" t="str">
        <f>IF(AND(Y68&gt;=Setup!$A$9,C68&gt;=Setup!$A$10),"Y","N")</f>
        <v>Y</v>
      </c>
      <c r="E68" s="21">
        <f>IF(COUNTIF(Setup!A:A, R68) &gt; 0, U68, 0)</f>
        <v>12570.28</v>
      </c>
      <c r="F68" s="22">
        <f>IF(COUNTIF(Setup!D:D, R68) &gt; 0, U68, 0)</f>
        <v>0</v>
      </c>
      <c r="G68" s="21">
        <f>IF(COUNTIF(Setup!G:G, R68) &gt; 0, U68, 0)</f>
        <v>0</v>
      </c>
      <c r="H68" s="22">
        <f>IF(COUNTIF(Setup!J:J, R68) &gt; 0, U68, 0)</f>
        <v>0</v>
      </c>
      <c r="I68" s="21">
        <f t="shared" si="17"/>
        <v>0</v>
      </c>
      <c r="J68" s="22">
        <f t="shared" si="18"/>
        <v>0</v>
      </c>
      <c r="K68" s="21">
        <f t="shared" si="19"/>
        <v>0</v>
      </c>
      <c r="L68" s="22">
        <f t="shared" si="20"/>
        <v>0</v>
      </c>
      <c r="M68" s="21">
        <f>IF(D68="Y",MAX(0,I68-Setup!$A$8),0)</f>
        <v>0</v>
      </c>
      <c r="N68" s="21">
        <f>IF(D68="Y",MAX(0,K68-Setup!$A$8),0)</f>
        <v>0</v>
      </c>
      <c r="O68" s="4" t="s">
        <v>114</v>
      </c>
      <c r="P68" s="4" t="s">
        <v>114</v>
      </c>
      <c r="Q68" s="4"/>
      <c r="R68" s="4" t="s">
        <v>87</v>
      </c>
      <c r="S68" s="4" t="s">
        <v>59</v>
      </c>
      <c r="T68" s="4" t="s">
        <v>60</v>
      </c>
      <c r="U68" s="5">
        <v>12570.28</v>
      </c>
      <c r="V68" s="5">
        <v>0</v>
      </c>
      <c r="W68" s="5">
        <v>173826.72</v>
      </c>
      <c r="X68" s="5">
        <v>171208.26</v>
      </c>
      <c r="Y68" s="5">
        <v>176100</v>
      </c>
    </row>
    <row r="69" spans="1:25" x14ac:dyDescent="0.25">
      <c r="A69" s="10" t="str">
        <f t="shared" si="14"/>
        <v>A00000013</v>
      </c>
      <c r="B69" s="10" t="str">
        <f t="shared" si="15"/>
        <v>Omar N. Khalid</v>
      </c>
      <c r="C69" s="10">
        <f t="shared" si="16"/>
        <v>52</v>
      </c>
      <c r="D69" s="10" t="str">
        <f>IF(AND(Y69&gt;=Setup!$A$9,C69&gt;=Setup!$A$10),"Y","N")</f>
        <v>Y</v>
      </c>
      <c r="E69" s="21">
        <f>IF(COUNTIF(Setup!A:A, R69) &gt; 0, U69, 0)</f>
        <v>0</v>
      </c>
      <c r="F69" s="22">
        <f>IF(COUNTIF(Setup!D:D, R69) &gt; 0, U69, 0)</f>
        <v>0</v>
      </c>
      <c r="G69" s="21">
        <f>IF(COUNTIF(Setup!G:G, R69) &gt; 0, U69, 0)</f>
        <v>0</v>
      </c>
      <c r="H69" s="22">
        <f>IF(COUNTIF(Setup!J:J, R69) &gt; 0, U69, 0)</f>
        <v>0</v>
      </c>
      <c r="I69" s="21">
        <f t="shared" si="17"/>
        <v>0</v>
      </c>
      <c r="J69" s="22">
        <f t="shared" si="18"/>
        <v>0</v>
      </c>
      <c r="K69" s="21">
        <f t="shared" si="19"/>
        <v>0</v>
      </c>
      <c r="L69" s="22">
        <f t="shared" si="20"/>
        <v>0</v>
      </c>
      <c r="M69" s="21">
        <f>IF(D69="Y",MAX(0,I69-Setup!$A$8),0)</f>
        <v>0</v>
      </c>
      <c r="N69" s="21">
        <f>IF(D69="Y",MAX(0,K69-Setup!$A$8),0)</f>
        <v>0</v>
      </c>
      <c r="O69" s="4" t="s">
        <v>114</v>
      </c>
      <c r="P69" s="4" t="s">
        <v>114</v>
      </c>
      <c r="Q69" s="4"/>
      <c r="R69" s="4" t="s">
        <v>63</v>
      </c>
      <c r="S69" s="4" t="s">
        <v>64</v>
      </c>
      <c r="T69" s="4" t="s">
        <v>65</v>
      </c>
      <c r="U69" s="5">
        <v>0</v>
      </c>
      <c r="V69" s="5">
        <v>4092.6</v>
      </c>
      <c r="W69" s="5">
        <v>172926.72</v>
      </c>
      <c r="X69" s="5">
        <v>171208.26</v>
      </c>
      <c r="Y69" s="5">
        <v>176100</v>
      </c>
    </row>
    <row r="70" spans="1:25" x14ac:dyDescent="0.25">
      <c r="A70" s="10" t="str">
        <f t="shared" si="14"/>
        <v>A00000014</v>
      </c>
      <c r="B70" s="10" t="str">
        <f t="shared" si="15"/>
        <v>Priya Malhotra</v>
      </c>
      <c r="C70" s="10">
        <f t="shared" si="16"/>
        <v>50</v>
      </c>
      <c r="D70" s="10" t="str">
        <f>IF(AND(Y70&gt;=Setup!$A$9,C70&gt;=Setup!$A$10),"Y","N")</f>
        <v>N</v>
      </c>
      <c r="E70" s="21">
        <f>IF(COUNTIF(Setup!A:A, R70) &gt; 0, U70, 0)</f>
        <v>0</v>
      </c>
      <c r="F70" s="22">
        <f>IF(COUNTIF(Setup!D:D, R70) &gt; 0, U70, 0)</f>
        <v>0</v>
      </c>
      <c r="G70" s="21">
        <f>IF(COUNTIF(Setup!G:G, R70) &gt; 0, U70, 0)</f>
        <v>0</v>
      </c>
      <c r="H70" s="22">
        <f>IF(COUNTIF(Setup!J:J, R70) &gt; 0, U70, 0)</f>
        <v>0</v>
      </c>
      <c r="I70" s="21">
        <f t="shared" si="17"/>
        <v>3530.34</v>
      </c>
      <c r="J70" s="22">
        <f t="shared" si="18"/>
        <v>0</v>
      </c>
      <c r="K70" s="21">
        <f t="shared" si="19"/>
        <v>5400</v>
      </c>
      <c r="L70" s="22">
        <f t="shared" si="20"/>
        <v>0</v>
      </c>
      <c r="M70" s="21">
        <f>IF(D70="Y",MAX(0,I70-Setup!$A$8),0)</f>
        <v>0</v>
      </c>
      <c r="N70" s="21">
        <f>IF(D70="Y",MAX(0,K70-Setup!$A$8),0)</f>
        <v>0</v>
      </c>
      <c r="O70" s="4" t="s">
        <v>127</v>
      </c>
      <c r="P70" s="4" t="s">
        <v>135</v>
      </c>
      <c r="Q70" s="4">
        <v>50</v>
      </c>
      <c r="R70" s="4" t="s">
        <v>73</v>
      </c>
      <c r="S70" s="4" t="s">
        <v>62</v>
      </c>
      <c r="T70" s="4" t="s">
        <v>60</v>
      </c>
      <c r="U70" s="5">
        <v>0</v>
      </c>
      <c r="W70" s="5">
        <v>0</v>
      </c>
      <c r="X70" s="5">
        <v>50544.899999999994</v>
      </c>
      <c r="Y70" s="5">
        <v>41456.89</v>
      </c>
    </row>
    <row r="71" spans="1:25" x14ac:dyDescent="0.25">
      <c r="A71" s="10" t="str">
        <f t="shared" si="14"/>
        <v>A00000014</v>
      </c>
      <c r="B71" s="10" t="str">
        <f t="shared" si="15"/>
        <v>Priya Malhotra</v>
      </c>
      <c r="C71" s="10">
        <f t="shared" si="16"/>
        <v>50</v>
      </c>
      <c r="D71" s="10" t="str">
        <f>IF(AND(Y71&gt;=Setup!$A$9,C71&gt;=Setup!$A$10),"Y","N")</f>
        <v>N</v>
      </c>
      <c r="E71" s="21">
        <f>IF(COUNTIF(Setup!A:A, R71) &gt; 0, U71, 0)</f>
        <v>0</v>
      </c>
      <c r="F71" s="22">
        <f>IF(COUNTIF(Setup!D:D, R71) &gt; 0, U71, 0)</f>
        <v>0</v>
      </c>
      <c r="G71" s="21">
        <f>IF(COUNTIF(Setup!G:G, R71) &gt; 0, U71, 0)</f>
        <v>5400</v>
      </c>
      <c r="H71" s="22">
        <f>IF(COUNTIF(Setup!J:J, R71) &gt; 0, U71, 0)</f>
        <v>0</v>
      </c>
      <c r="I71" s="21">
        <f t="shared" si="17"/>
        <v>0</v>
      </c>
      <c r="J71" s="22">
        <f t="shared" si="18"/>
        <v>0</v>
      </c>
      <c r="K71" s="21">
        <f t="shared" si="19"/>
        <v>0</v>
      </c>
      <c r="L71" s="22">
        <f t="shared" si="20"/>
        <v>0</v>
      </c>
      <c r="M71" s="21">
        <f>IF(D71="Y",MAX(0,I71-Setup!$A$8),0)</f>
        <v>0</v>
      </c>
      <c r="N71" s="21">
        <f>IF(D71="Y",MAX(0,K71-Setup!$A$8),0)</f>
        <v>0</v>
      </c>
      <c r="O71" s="4" t="s">
        <v>114</v>
      </c>
      <c r="P71" s="4" t="s">
        <v>114</v>
      </c>
      <c r="Q71" s="4"/>
      <c r="R71" s="4" t="s">
        <v>98</v>
      </c>
      <c r="S71" s="4" t="s">
        <v>99</v>
      </c>
      <c r="T71" s="4" t="s">
        <v>60</v>
      </c>
      <c r="U71" s="5">
        <v>5400</v>
      </c>
      <c r="V71" s="5">
        <v>0</v>
      </c>
      <c r="W71" s="5">
        <v>69209.64</v>
      </c>
      <c r="X71" s="5">
        <v>50544.899999999994</v>
      </c>
      <c r="Y71" s="5">
        <v>41456.89</v>
      </c>
    </row>
    <row r="72" spans="1:25" x14ac:dyDescent="0.25">
      <c r="A72" s="10" t="str">
        <f t="shared" si="14"/>
        <v>A00000014</v>
      </c>
      <c r="B72" s="10" t="str">
        <f t="shared" si="15"/>
        <v>Priya Malhotra</v>
      </c>
      <c r="C72" s="10">
        <f t="shared" si="16"/>
        <v>50</v>
      </c>
      <c r="D72" s="10" t="str">
        <f>IF(AND(Y72&gt;=Setup!$A$9,C72&gt;=Setup!$A$10),"Y","N")</f>
        <v>N</v>
      </c>
      <c r="E72" s="21">
        <f>IF(COUNTIF(Setup!A:A, R72) &gt; 0, U72, 0)</f>
        <v>1800</v>
      </c>
      <c r="F72" s="22">
        <f>IF(COUNTIF(Setup!D:D, R72) &gt; 0, U72, 0)</f>
        <v>0</v>
      </c>
      <c r="G72" s="21">
        <f>IF(COUNTIF(Setup!G:G, R72) &gt; 0, U72, 0)</f>
        <v>0</v>
      </c>
      <c r="H72" s="22">
        <f>IF(COUNTIF(Setup!J:J, R72) &gt; 0, U72, 0)</f>
        <v>0</v>
      </c>
      <c r="I72" s="21">
        <f t="shared" si="17"/>
        <v>0</v>
      </c>
      <c r="J72" s="22">
        <f t="shared" si="18"/>
        <v>0</v>
      </c>
      <c r="K72" s="21">
        <f t="shared" si="19"/>
        <v>0</v>
      </c>
      <c r="L72" s="22">
        <f t="shared" si="20"/>
        <v>0</v>
      </c>
      <c r="M72" s="21">
        <f>IF(D72="Y",MAX(0,I72-Setup!$A$8),0)</f>
        <v>0</v>
      </c>
      <c r="N72" s="21">
        <f>IF(D72="Y",MAX(0,K72-Setup!$A$8),0)</f>
        <v>0</v>
      </c>
      <c r="O72" s="4" t="s">
        <v>114</v>
      </c>
      <c r="P72" s="4" t="s">
        <v>114</v>
      </c>
      <c r="Q72" s="4"/>
      <c r="R72" s="4" t="s">
        <v>94</v>
      </c>
      <c r="S72" s="4" t="s">
        <v>80</v>
      </c>
      <c r="T72" s="4" t="s">
        <v>60</v>
      </c>
      <c r="U72" s="5">
        <v>1800</v>
      </c>
      <c r="V72" s="5">
        <v>0</v>
      </c>
      <c r="W72" s="5">
        <v>69209.64</v>
      </c>
      <c r="X72" s="5">
        <v>50544.899999999994</v>
      </c>
      <c r="Y72" s="5">
        <v>41456.89</v>
      </c>
    </row>
    <row r="73" spans="1:25" x14ac:dyDescent="0.25">
      <c r="A73" s="10" t="str">
        <f t="shared" si="14"/>
        <v>A00000014</v>
      </c>
      <c r="B73" s="10" t="str">
        <f t="shared" si="15"/>
        <v>Priya Malhotra</v>
      </c>
      <c r="C73" s="10">
        <f t="shared" si="16"/>
        <v>50</v>
      </c>
      <c r="D73" s="10" t="str">
        <f>IF(AND(Y73&gt;=Setup!$A$9,C73&gt;=Setup!$A$10),"Y","N")</f>
        <v>N</v>
      </c>
      <c r="E73" s="21">
        <f>IF(COUNTIF(Setup!A:A, R73) &gt; 0, U73, 0)</f>
        <v>1730.34</v>
      </c>
      <c r="F73" s="22">
        <f>IF(COUNTIF(Setup!D:D, R73) &gt; 0, U73, 0)</f>
        <v>0</v>
      </c>
      <c r="G73" s="21">
        <f>IF(COUNTIF(Setup!G:G, R73) &gt; 0, U73, 0)</f>
        <v>0</v>
      </c>
      <c r="H73" s="22">
        <f>IF(COUNTIF(Setup!J:J, R73) &gt; 0, U73, 0)</f>
        <v>0</v>
      </c>
      <c r="I73" s="21">
        <f t="shared" si="17"/>
        <v>0</v>
      </c>
      <c r="J73" s="22">
        <f t="shared" si="18"/>
        <v>0</v>
      </c>
      <c r="K73" s="21">
        <f t="shared" si="19"/>
        <v>0</v>
      </c>
      <c r="L73" s="22">
        <f t="shared" si="20"/>
        <v>0</v>
      </c>
      <c r="M73" s="21">
        <f>IF(D73="Y",MAX(0,I73-Setup!$A$8),0)</f>
        <v>0</v>
      </c>
      <c r="N73" s="21">
        <f>IF(D73="Y",MAX(0,K73-Setup!$A$8),0)</f>
        <v>0</v>
      </c>
      <c r="O73" s="4" t="s">
        <v>114</v>
      </c>
      <c r="P73" s="4" t="s">
        <v>114</v>
      </c>
      <c r="Q73" s="4"/>
      <c r="R73" s="4" t="s">
        <v>58</v>
      </c>
      <c r="S73" s="4" t="s">
        <v>59</v>
      </c>
      <c r="T73" s="4" t="s">
        <v>60</v>
      </c>
      <c r="U73" s="5">
        <v>1730.34</v>
      </c>
      <c r="V73" s="5">
        <v>0</v>
      </c>
      <c r="W73" s="5">
        <v>57675.06</v>
      </c>
      <c r="X73" s="5">
        <v>50544.899999999994</v>
      </c>
      <c r="Y73" s="5">
        <v>41456.89</v>
      </c>
    </row>
    <row r="74" spans="1:25" x14ac:dyDescent="0.25">
      <c r="A74" s="10" t="str">
        <f t="shared" si="14"/>
        <v>A00000014</v>
      </c>
      <c r="B74" s="10" t="str">
        <f t="shared" si="15"/>
        <v>Priya Malhotra</v>
      </c>
      <c r="C74" s="10">
        <f t="shared" si="16"/>
        <v>50</v>
      </c>
      <c r="D74" s="10" t="str">
        <f>IF(AND(Y74&gt;=Setup!$A$9,C74&gt;=Setup!$A$10),"Y","N")</f>
        <v>N</v>
      </c>
      <c r="E74" s="21">
        <f>IF(COUNTIF(Setup!A:A, R74) &gt; 0, U74, 0)</f>
        <v>0</v>
      </c>
      <c r="F74" s="22">
        <f>IF(COUNTIF(Setup!D:D, R74) &gt; 0, U74, 0)</f>
        <v>0</v>
      </c>
      <c r="G74" s="21">
        <f>IF(COUNTIF(Setup!G:G, R74) &gt; 0, U74, 0)</f>
        <v>0</v>
      </c>
      <c r="H74" s="22">
        <f>IF(COUNTIF(Setup!J:J, R74) &gt; 0, U74, 0)</f>
        <v>0</v>
      </c>
      <c r="I74" s="21">
        <f t="shared" si="17"/>
        <v>0</v>
      </c>
      <c r="J74" s="22">
        <f t="shared" si="18"/>
        <v>0</v>
      </c>
      <c r="K74" s="21">
        <f t="shared" si="19"/>
        <v>0</v>
      </c>
      <c r="L74" s="22">
        <f t="shared" si="20"/>
        <v>0</v>
      </c>
      <c r="M74" s="21">
        <f>IF(D74="Y",MAX(0,I74-Setup!$A$8),0)</f>
        <v>0</v>
      </c>
      <c r="N74" s="21">
        <f>IF(D74="Y",MAX(0,K74-Setup!$A$8),0)</f>
        <v>0</v>
      </c>
      <c r="O74" s="4" t="s">
        <v>114</v>
      </c>
      <c r="P74" s="4" t="s">
        <v>114</v>
      </c>
      <c r="Q74" s="4"/>
      <c r="R74" s="4" t="s">
        <v>100</v>
      </c>
      <c r="S74" s="4" t="s">
        <v>101</v>
      </c>
      <c r="T74" s="4"/>
      <c r="U74" s="5">
        <v>0</v>
      </c>
      <c r="V74" s="5">
        <v>1678.35</v>
      </c>
      <c r="W74" s="5">
        <v>57675.06</v>
      </c>
      <c r="X74" s="5">
        <v>50544.899999999994</v>
      </c>
      <c r="Y74" s="5">
        <v>41456.89</v>
      </c>
    </row>
    <row r="75" spans="1:25" x14ac:dyDescent="0.25">
      <c r="A75" s="10" t="str">
        <f t="shared" si="14"/>
        <v>A00000015</v>
      </c>
      <c r="B75" s="10" t="str">
        <f t="shared" si="15"/>
        <v>Sofia Del Pilar Cruz</v>
      </c>
      <c r="C75" s="10">
        <f t="shared" si="16"/>
        <v>53</v>
      </c>
      <c r="D75" s="10" t="str">
        <f>IF(AND(Y75&gt;=Setup!$A$9,C75&gt;=Setup!$A$10),"Y","N")</f>
        <v>N</v>
      </c>
      <c r="E75" s="21">
        <f>IF(COUNTIF(Setup!A:A, R75) &gt; 0, U75, 0)</f>
        <v>0</v>
      </c>
      <c r="F75" s="22">
        <f>IF(COUNTIF(Setup!D:D, R75) &gt; 0, U75, 0)</f>
        <v>0</v>
      </c>
      <c r="G75" s="21">
        <f>IF(COUNTIF(Setup!G:G, R75) &gt; 0, U75, 0)</f>
        <v>0</v>
      </c>
      <c r="H75" s="22">
        <f>IF(COUNTIF(Setup!J:J, R75) &gt; 0, U75, 0)</f>
        <v>0</v>
      </c>
      <c r="I75" s="21">
        <f t="shared" si="17"/>
        <v>0</v>
      </c>
      <c r="J75" s="22">
        <f t="shared" si="18"/>
        <v>450</v>
      </c>
      <c r="K75" s="21">
        <f t="shared" si="19"/>
        <v>0</v>
      </c>
      <c r="L75" s="22">
        <f t="shared" si="20"/>
        <v>0</v>
      </c>
      <c r="M75" s="21">
        <f>IF(D75="Y",MAX(0,I75-Setup!$A$8),0)</f>
        <v>0</v>
      </c>
      <c r="N75" s="21">
        <f>IF(D75="Y",MAX(0,K75-Setup!$A$8),0)</f>
        <v>0</v>
      </c>
      <c r="O75" s="4" t="s">
        <v>128</v>
      </c>
      <c r="P75" s="4" t="s">
        <v>147</v>
      </c>
      <c r="Q75" s="4">
        <v>53</v>
      </c>
      <c r="R75" s="4" t="s">
        <v>83</v>
      </c>
      <c r="S75" s="4" t="s">
        <v>84</v>
      </c>
      <c r="T75" s="4" t="s">
        <v>60</v>
      </c>
      <c r="U75" s="5">
        <v>0</v>
      </c>
      <c r="W75" s="5">
        <v>0</v>
      </c>
      <c r="X75" s="5">
        <v>62125.56</v>
      </c>
      <c r="Y75" s="5">
        <v>85321.71</v>
      </c>
    </row>
    <row r="76" spans="1:25" x14ac:dyDescent="0.25">
      <c r="A76" s="10" t="str">
        <f t="shared" si="14"/>
        <v>A00000015</v>
      </c>
      <c r="B76" s="10" t="str">
        <f t="shared" si="15"/>
        <v>Sofia Del Pilar Cruz</v>
      </c>
      <c r="C76" s="10">
        <f t="shared" si="16"/>
        <v>53</v>
      </c>
      <c r="D76" s="10" t="str">
        <f>IF(AND(Y76&gt;=Setup!$A$9,C76&gt;=Setup!$A$10),"Y","N")</f>
        <v>N</v>
      </c>
      <c r="E76" s="21">
        <f>IF(COUNTIF(Setup!A:A, R76) &gt; 0, U76, 0)</f>
        <v>0</v>
      </c>
      <c r="F76" s="22">
        <f>IF(COUNTIF(Setup!D:D, R76) &gt; 0, U76, 0)</f>
        <v>0</v>
      </c>
      <c r="G76" s="21">
        <f>IF(COUNTIF(Setup!G:G, R76) &gt; 0, U76, 0)</f>
        <v>0</v>
      </c>
      <c r="H76" s="22">
        <f>IF(COUNTIF(Setup!J:J, R76) &gt; 0, U76, 0)</f>
        <v>0</v>
      </c>
      <c r="I76" s="21">
        <f t="shared" si="17"/>
        <v>0</v>
      </c>
      <c r="J76" s="22">
        <f t="shared" si="18"/>
        <v>0</v>
      </c>
      <c r="K76" s="21">
        <f t="shared" si="19"/>
        <v>0</v>
      </c>
      <c r="L76" s="22">
        <f t="shared" si="20"/>
        <v>0</v>
      </c>
      <c r="M76" s="21">
        <f>IF(D76="Y",MAX(0,I76-Setup!$A$8),0)</f>
        <v>0</v>
      </c>
      <c r="N76" s="21">
        <f>IF(D76="Y",MAX(0,K76-Setup!$A$8),0)</f>
        <v>0</v>
      </c>
      <c r="O76" s="4" t="s">
        <v>114</v>
      </c>
      <c r="P76" s="4" t="s">
        <v>114</v>
      </c>
      <c r="Q76" s="4"/>
      <c r="R76" s="4" t="s">
        <v>71</v>
      </c>
      <c r="S76" s="4" t="s">
        <v>72</v>
      </c>
      <c r="T76" s="4"/>
      <c r="U76" s="5">
        <v>0</v>
      </c>
      <c r="V76" s="5">
        <v>162.47999999999999</v>
      </c>
      <c r="W76" s="5">
        <v>64991.16</v>
      </c>
      <c r="X76" s="5">
        <v>62125.56</v>
      </c>
      <c r="Y76" s="5">
        <v>85321.71</v>
      </c>
    </row>
    <row r="77" spans="1:25" x14ac:dyDescent="0.25">
      <c r="A77" s="10" t="str">
        <f t="shared" si="14"/>
        <v>A00000015</v>
      </c>
      <c r="B77" s="10" t="str">
        <f t="shared" si="15"/>
        <v>Sofia Del Pilar Cruz</v>
      </c>
      <c r="C77" s="10">
        <f t="shared" si="16"/>
        <v>53</v>
      </c>
      <c r="D77" s="10" t="str">
        <f>IF(AND(Y77&gt;=Setup!$A$9,C77&gt;=Setup!$A$10),"Y","N")</f>
        <v>N</v>
      </c>
      <c r="E77" s="21">
        <f>IF(COUNTIF(Setup!A:A, R77) &gt; 0, U77, 0)</f>
        <v>0</v>
      </c>
      <c r="F77" s="22">
        <f>IF(COUNTIF(Setup!D:D, R77) &gt; 0, U77, 0)</f>
        <v>225</v>
      </c>
      <c r="G77" s="21">
        <f>IF(COUNTIF(Setup!G:G, R77) &gt; 0, U77, 0)</f>
        <v>0</v>
      </c>
      <c r="H77" s="22">
        <f>IF(COUNTIF(Setup!J:J, R77) &gt; 0, U77, 0)</f>
        <v>0</v>
      </c>
      <c r="I77" s="21">
        <f t="shared" si="17"/>
        <v>0</v>
      </c>
      <c r="J77" s="22">
        <f t="shared" si="18"/>
        <v>0</v>
      </c>
      <c r="K77" s="21">
        <f t="shared" si="19"/>
        <v>0</v>
      </c>
      <c r="L77" s="22">
        <f t="shared" si="20"/>
        <v>0</v>
      </c>
      <c r="M77" s="21">
        <f>IF(D77="Y",MAX(0,I77-Setup!$A$8),0)</f>
        <v>0</v>
      </c>
      <c r="N77" s="21">
        <f>IF(D77="Y",MAX(0,K77-Setup!$A$8),0)</f>
        <v>0</v>
      </c>
      <c r="O77" s="4" t="s">
        <v>114</v>
      </c>
      <c r="P77" s="4" t="s">
        <v>114</v>
      </c>
      <c r="Q77" s="4"/>
      <c r="R77" s="4" t="s">
        <v>85</v>
      </c>
      <c r="S77" s="4" t="s">
        <v>86</v>
      </c>
      <c r="T77" s="4" t="s">
        <v>60</v>
      </c>
      <c r="U77" s="5">
        <v>225</v>
      </c>
      <c r="V77" s="5">
        <v>0</v>
      </c>
      <c r="W77" s="5">
        <v>80988.42</v>
      </c>
      <c r="X77" s="5">
        <v>62125.56</v>
      </c>
      <c r="Y77" s="5">
        <v>85321.71</v>
      </c>
    </row>
    <row r="78" spans="1:25" x14ac:dyDescent="0.25">
      <c r="A78" s="10" t="str">
        <f t="shared" si="14"/>
        <v>A00000015</v>
      </c>
      <c r="B78" s="10" t="str">
        <f t="shared" si="15"/>
        <v>Sofia Del Pilar Cruz</v>
      </c>
      <c r="C78" s="10">
        <f t="shared" si="16"/>
        <v>53</v>
      </c>
      <c r="D78" s="10" t="str">
        <f>IF(AND(Y78&gt;=Setup!$A$9,C78&gt;=Setup!$A$10),"Y","N")</f>
        <v>N</v>
      </c>
      <c r="E78" s="21">
        <f>IF(COUNTIF(Setup!A:A, R78) &gt; 0, U78, 0)</f>
        <v>0</v>
      </c>
      <c r="F78" s="22">
        <f>IF(COUNTIF(Setup!D:D, R78) &gt; 0, U78, 0)</f>
        <v>0</v>
      </c>
      <c r="G78" s="21">
        <f>IF(COUNTIF(Setup!G:G, R78) &gt; 0, U78, 0)</f>
        <v>0</v>
      </c>
      <c r="H78" s="22">
        <f>IF(COUNTIF(Setup!J:J, R78) &gt; 0, U78, 0)</f>
        <v>0</v>
      </c>
      <c r="I78" s="21">
        <f t="shared" si="17"/>
        <v>0</v>
      </c>
      <c r="J78" s="22">
        <f t="shared" si="18"/>
        <v>0</v>
      </c>
      <c r="K78" s="21">
        <f t="shared" si="19"/>
        <v>0</v>
      </c>
      <c r="L78" s="22">
        <f t="shared" si="20"/>
        <v>0</v>
      </c>
      <c r="M78" s="21">
        <f>IF(D78="Y",MAX(0,I78-Setup!$A$8),0)</f>
        <v>0</v>
      </c>
      <c r="N78" s="21">
        <f>IF(D78="Y",MAX(0,K78-Setup!$A$8),0)</f>
        <v>0</v>
      </c>
      <c r="O78" s="4" t="s">
        <v>114</v>
      </c>
      <c r="P78" s="4" t="s">
        <v>114</v>
      </c>
      <c r="Q78" s="4"/>
      <c r="R78" s="4" t="s">
        <v>90</v>
      </c>
      <c r="S78" s="4" t="s">
        <v>91</v>
      </c>
      <c r="T78" s="4" t="s">
        <v>60</v>
      </c>
      <c r="U78" s="5">
        <v>0</v>
      </c>
      <c r="W78" s="5">
        <v>0</v>
      </c>
      <c r="X78" s="5">
        <v>62125.56</v>
      </c>
      <c r="Y78" s="5">
        <v>85321.71</v>
      </c>
    </row>
    <row r="79" spans="1:25" x14ac:dyDescent="0.25">
      <c r="A79" s="10" t="str">
        <f t="shared" si="14"/>
        <v>A00000015</v>
      </c>
      <c r="B79" s="10" t="str">
        <f t="shared" si="15"/>
        <v>Sofia Del Pilar Cruz</v>
      </c>
      <c r="C79" s="10">
        <f t="shared" si="16"/>
        <v>53</v>
      </c>
      <c r="D79" s="10" t="str">
        <f>IF(AND(Y79&gt;=Setup!$A$9,C79&gt;=Setup!$A$10),"Y","N")</f>
        <v>N</v>
      </c>
      <c r="E79" s="21">
        <f>IF(COUNTIF(Setup!A:A, R79) &gt; 0, U79, 0)</f>
        <v>0</v>
      </c>
      <c r="F79" s="22">
        <f>IF(COUNTIF(Setup!D:D, R79) &gt; 0, U79, 0)</f>
        <v>225</v>
      </c>
      <c r="G79" s="21">
        <f>IF(COUNTIF(Setup!G:G, R79) &gt; 0, U79, 0)</f>
        <v>0</v>
      </c>
      <c r="H79" s="22">
        <f>IF(COUNTIF(Setup!J:J, R79) &gt; 0, U79, 0)</f>
        <v>0</v>
      </c>
      <c r="I79" s="21">
        <f t="shared" si="17"/>
        <v>0</v>
      </c>
      <c r="J79" s="22">
        <f t="shared" si="18"/>
        <v>0</v>
      </c>
      <c r="K79" s="21">
        <f t="shared" si="19"/>
        <v>0</v>
      </c>
      <c r="L79" s="22">
        <f t="shared" si="20"/>
        <v>0</v>
      </c>
      <c r="M79" s="21">
        <f>IF(D79="Y",MAX(0,I79-Setup!$A$8),0)</f>
        <v>0</v>
      </c>
      <c r="N79" s="21">
        <f>IF(D79="Y",MAX(0,K79-Setup!$A$8),0)</f>
        <v>0</v>
      </c>
      <c r="O79" s="4" t="s">
        <v>114</v>
      </c>
      <c r="P79" s="4" t="s">
        <v>114</v>
      </c>
      <c r="Q79" s="4"/>
      <c r="R79" s="4" t="s">
        <v>88</v>
      </c>
      <c r="S79" s="4" t="s">
        <v>89</v>
      </c>
      <c r="T79" s="4" t="s">
        <v>60</v>
      </c>
      <c r="U79" s="5">
        <v>225</v>
      </c>
      <c r="V79" s="5">
        <v>0</v>
      </c>
      <c r="W79" s="5">
        <v>80988.42</v>
      </c>
      <c r="X79" s="5">
        <v>62125.56</v>
      </c>
      <c r="Y79" s="5">
        <v>85321.71</v>
      </c>
    </row>
    <row r="80" spans="1:25" x14ac:dyDescent="0.25">
      <c r="A80" s="10" t="str">
        <f t="shared" si="14"/>
        <v>A00000015</v>
      </c>
      <c r="B80" s="10" t="str">
        <f t="shared" si="15"/>
        <v>Sofia Del Pilar Cruz</v>
      </c>
      <c r="C80" s="10">
        <f t="shared" si="16"/>
        <v>53</v>
      </c>
      <c r="D80" s="10" t="str">
        <f>IF(AND(Y80&gt;=Setup!$A$9,C80&gt;=Setup!$A$10),"Y","N")</f>
        <v>N</v>
      </c>
      <c r="E80" s="21">
        <f>IF(COUNTIF(Setup!A:A, R80) &gt; 0, U80, 0)</f>
        <v>0</v>
      </c>
      <c r="F80" s="22">
        <f>IF(COUNTIF(Setup!D:D, R80) &gt; 0, U80, 0)</f>
        <v>0</v>
      </c>
      <c r="G80" s="21">
        <f>IF(COUNTIF(Setup!G:G, R80) &gt; 0, U80, 0)</f>
        <v>0</v>
      </c>
      <c r="H80" s="22">
        <f>IF(COUNTIF(Setup!J:J, R80) &gt; 0, U80, 0)</f>
        <v>0</v>
      </c>
      <c r="I80" s="21">
        <f t="shared" si="17"/>
        <v>0</v>
      </c>
      <c r="J80" s="22">
        <f t="shared" si="18"/>
        <v>0</v>
      </c>
      <c r="K80" s="21">
        <f t="shared" si="19"/>
        <v>0</v>
      </c>
      <c r="L80" s="22">
        <f t="shared" si="20"/>
        <v>0</v>
      </c>
      <c r="M80" s="21">
        <f>IF(D80="Y",MAX(0,I80-Setup!$A$8),0)</f>
        <v>0</v>
      </c>
      <c r="N80" s="21">
        <f>IF(D80="Y",MAX(0,K80-Setup!$A$8),0)</f>
        <v>0</v>
      </c>
      <c r="O80" s="4" t="s">
        <v>114</v>
      </c>
      <c r="P80" s="4" t="s">
        <v>114</v>
      </c>
      <c r="Q80" s="4"/>
      <c r="R80" s="4" t="s">
        <v>69</v>
      </c>
      <c r="S80" s="4" t="s">
        <v>70</v>
      </c>
      <c r="T80" s="4"/>
      <c r="U80" s="5">
        <v>0</v>
      </c>
      <c r="V80" s="5">
        <v>2403.6</v>
      </c>
      <c r="W80" s="5">
        <v>64991.16</v>
      </c>
      <c r="X80" s="5">
        <v>62125.56</v>
      </c>
      <c r="Y80" s="5">
        <v>85321.71</v>
      </c>
    </row>
    <row r="81" spans="1:25" x14ac:dyDescent="0.25">
      <c r="A81" s="10" t="str">
        <f t="shared" si="14"/>
        <v>A00000016</v>
      </c>
      <c r="B81" s="10" t="str">
        <f t="shared" si="15"/>
        <v>Thomas Edward Grayson</v>
      </c>
      <c r="C81" s="10">
        <f t="shared" si="16"/>
        <v>51</v>
      </c>
      <c r="D81" s="10" t="str">
        <f>IF(AND(Y81&gt;=Setup!$A$9,C81&gt;=Setup!$A$10),"Y","N")</f>
        <v>N</v>
      </c>
      <c r="E81" s="21">
        <f>IF(COUNTIF(Setup!A:A, R81) &gt; 0, U81, 0)</f>
        <v>0</v>
      </c>
      <c r="F81" s="22">
        <f>IF(COUNTIF(Setup!D:D, R81) &gt; 0, U81, 0)</f>
        <v>1800</v>
      </c>
      <c r="G81" s="21">
        <f>IF(COUNTIF(Setup!G:G, R81) &gt; 0, U81, 0)</f>
        <v>0</v>
      </c>
      <c r="H81" s="22">
        <f>IF(COUNTIF(Setup!J:J, R81) &gt; 0, U81, 0)</f>
        <v>0</v>
      </c>
      <c r="I81" s="21">
        <f t="shared" si="17"/>
        <v>1125</v>
      </c>
      <c r="J81" s="22">
        <f t="shared" si="18"/>
        <v>3600</v>
      </c>
      <c r="K81" s="21">
        <f t="shared" si="19"/>
        <v>0</v>
      </c>
      <c r="L81" s="22">
        <f t="shared" si="20"/>
        <v>0</v>
      </c>
      <c r="M81" s="21">
        <f>IF(D81="Y",MAX(0,I81-Setup!$A$8),0)</f>
        <v>0</v>
      </c>
      <c r="N81" s="21">
        <f>IF(D81="Y",MAX(0,K81-Setup!$A$8),0)</f>
        <v>0</v>
      </c>
      <c r="O81" s="4" t="s">
        <v>129</v>
      </c>
      <c r="P81" s="4" t="s">
        <v>148</v>
      </c>
      <c r="Q81" s="4">
        <v>51</v>
      </c>
      <c r="R81" s="4" t="s">
        <v>88</v>
      </c>
      <c r="S81" s="4" t="s">
        <v>89</v>
      </c>
      <c r="T81" s="4" t="s">
        <v>60</v>
      </c>
      <c r="U81" s="5">
        <v>1800</v>
      </c>
      <c r="V81" s="5">
        <v>0</v>
      </c>
      <c r="W81" s="5">
        <v>37499.94</v>
      </c>
      <c r="X81" s="5">
        <v>29747.699999999997</v>
      </c>
      <c r="Y81" s="5">
        <v>6792.94</v>
      </c>
    </row>
    <row r="82" spans="1:25" x14ac:dyDescent="0.25">
      <c r="A82" s="10" t="str">
        <f t="shared" si="14"/>
        <v>A00000016</v>
      </c>
      <c r="B82" s="10" t="str">
        <f t="shared" si="15"/>
        <v>Thomas Edward Grayson</v>
      </c>
      <c r="C82" s="10">
        <f t="shared" si="16"/>
        <v>51</v>
      </c>
      <c r="D82" s="10" t="str">
        <f>IF(AND(Y82&gt;=Setup!$A$9,C82&gt;=Setup!$A$10),"Y","N")</f>
        <v>N</v>
      </c>
      <c r="E82" s="21">
        <f>IF(COUNTIF(Setup!A:A, R82) &gt; 0, U82, 0)</f>
        <v>1125</v>
      </c>
      <c r="F82" s="22">
        <f>IF(COUNTIF(Setup!D:D, R82) &gt; 0, U82, 0)</f>
        <v>0</v>
      </c>
      <c r="G82" s="21">
        <f>IF(COUNTIF(Setup!G:G, R82) &gt; 0, U82, 0)</f>
        <v>0</v>
      </c>
      <c r="H82" s="22">
        <f>IF(COUNTIF(Setup!J:J, R82) &gt; 0, U82, 0)</f>
        <v>0</v>
      </c>
      <c r="I82" s="21">
        <f t="shared" si="17"/>
        <v>0</v>
      </c>
      <c r="J82" s="22">
        <f t="shared" si="18"/>
        <v>0</v>
      </c>
      <c r="K82" s="21">
        <f t="shared" si="19"/>
        <v>0</v>
      </c>
      <c r="L82" s="22">
        <f t="shared" si="20"/>
        <v>0</v>
      </c>
      <c r="M82" s="21">
        <f>IF(D82="Y",MAX(0,I82-Setup!$A$8),0)</f>
        <v>0</v>
      </c>
      <c r="N82" s="21">
        <f>IF(D82="Y",MAX(0,K82-Setup!$A$8),0)</f>
        <v>0</v>
      </c>
      <c r="O82" s="4" t="s">
        <v>114</v>
      </c>
      <c r="P82" s="4" t="s">
        <v>114</v>
      </c>
      <c r="Q82" s="4"/>
      <c r="R82" s="4" t="s">
        <v>58</v>
      </c>
      <c r="S82" s="4" t="s">
        <v>59</v>
      </c>
      <c r="T82" s="4" t="s">
        <v>60</v>
      </c>
      <c r="U82" s="5">
        <v>1125</v>
      </c>
      <c r="V82" s="5">
        <v>0</v>
      </c>
      <c r="W82" s="5">
        <v>37499.94</v>
      </c>
      <c r="X82" s="5">
        <v>29747.699999999997</v>
      </c>
      <c r="Y82" s="5">
        <v>6792.94</v>
      </c>
    </row>
    <row r="83" spans="1:25" x14ac:dyDescent="0.25">
      <c r="A83" s="10" t="str">
        <f t="shared" si="14"/>
        <v>A00000016</v>
      </c>
      <c r="B83" s="10" t="str">
        <f t="shared" si="15"/>
        <v>Thomas Edward Grayson</v>
      </c>
      <c r="C83" s="10">
        <f t="shared" si="16"/>
        <v>51</v>
      </c>
      <c r="D83" s="10" t="str">
        <f>IF(AND(Y83&gt;=Setup!$A$9,C83&gt;=Setup!$A$10),"Y","N")</f>
        <v>N</v>
      </c>
      <c r="E83" s="21">
        <f>IF(COUNTIF(Setup!A:A, R83) &gt; 0, U83, 0)</f>
        <v>0</v>
      </c>
      <c r="F83" s="22">
        <f>IF(COUNTIF(Setup!D:D, R83) &gt; 0, U83, 0)</f>
        <v>1800</v>
      </c>
      <c r="G83" s="21">
        <f>IF(COUNTIF(Setup!G:G, R83) &gt; 0, U83, 0)</f>
        <v>0</v>
      </c>
      <c r="H83" s="22">
        <f>IF(COUNTIF(Setup!J:J, R83) &gt; 0, U83, 0)</f>
        <v>0</v>
      </c>
      <c r="I83" s="21">
        <f t="shared" si="17"/>
        <v>0</v>
      </c>
      <c r="J83" s="22">
        <f t="shared" si="18"/>
        <v>0</v>
      </c>
      <c r="K83" s="21">
        <f t="shared" si="19"/>
        <v>0</v>
      </c>
      <c r="L83" s="22">
        <f t="shared" si="20"/>
        <v>0</v>
      </c>
      <c r="M83" s="21">
        <f>IF(D83="Y",MAX(0,I83-Setup!$A$8),0)</f>
        <v>0</v>
      </c>
      <c r="N83" s="21">
        <f>IF(D83="Y",MAX(0,K83-Setup!$A$8),0)</f>
        <v>0</v>
      </c>
      <c r="O83" s="4" t="s">
        <v>114</v>
      </c>
      <c r="P83" s="4" t="s">
        <v>114</v>
      </c>
      <c r="Q83" s="4"/>
      <c r="R83" s="4" t="s">
        <v>85</v>
      </c>
      <c r="S83" s="4" t="s">
        <v>86</v>
      </c>
      <c r="T83" s="4" t="s">
        <v>60</v>
      </c>
      <c r="U83" s="5">
        <v>1800</v>
      </c>
      <c r="V83" s="5">
        <v>0</v>
      </c>
      <c r="W83" s="5">
        <v>37499.94</v>
      </c>
      <c r="X83" s="5">
        <v>29747.699999999997</v>
      </c>
      <c r="Y83" s="5">
        <v>6792.94</v>
      </c>
    </row>
    <row r="84" spans="1:25" x14ac:dyDescent="0.25">
      <c r="A84" s="10" t="str">
        <f t="shared" si="14"/>
        <v>A00000016</v>
      </c>
      <c r="B84" s="10" t="str">
        <f t="shared" si="15"/>
        <v>Thomas Edward Grayson</v>
      </c>
      <c r="C84" s="10">
        <f t="shared" si="16"/>
        <v>51</v>
      </c>
      <c r="D84" s="10" t="str">
        <f>IF(AND(Y84&gt;=Setup!$A$9,C84&gt;=Setup!$A$10),"Y","N")</f>
        <v>N</v>
      </c>
      <c r="E84" s="21">
        <f>IF(COUNTIF(Setup!A:A, R84) &gt; 0, U84, 0)</f>
        <v>0</v>
      </c>
      <c r="F84" s="22">
        <f>IF(COUNTIF(Setup!D:D, R84) &gt; 0, U84, 0)</f>
        <v>0</v>
      </c>
      <c r="G84" s="21">
        <f>IF(COUNTIF(Setup!G:G, R84) &gt; 0, U84, 0)</f>
        <v>0</v>
      </c>
      <c r="H84" s="22">
        <f>IF(COUNTIF(Setup!J:J, R84) &gt; 0, U84, 0)</f>
        <v>0</v>
      </c>
      <c r="I84" s="21">
        <f t="shared" si="17"/>
        <v>0</v>
      </c>
      <c r="J84" s="22">
        <f t="shared" si="18"/>
        <v>0</v>
      </c>
      <c r="K84" s="21">
        <f t="shared" si="19"/>
        <v>0</v>
      </c>
      <c r="L84" s="22">
        <f t="shared" si="20"/>
        <v>0</v>
      </c>
      <c r="M84" s="21">
        <f>IF(D84="Y",MAX(0,I84-Setup!$A$8),0)</f>
        <v>0</v>
      </c>
      <c r="N84" s="21">
        <f>IF(D84="Y",MAX(0,K84-Setup!$A$8),0)</f>
        <v>0</v>
      </c>
      <c r="O84" s="4" t="s">
        <v>114</v>
      </c>
      <c r="P84" s="4" t="s">
        <v>114</v>
      </c>
      <c r="Q84" s="4"/>
      <c r="R84" s="4" t="s">
        <v>56</v>
      </c>
      <c r="S84" s="4" t="s">
        <v>57</v>
      </c>
      <c r="T84" s="4"/>
      <c r="U84" s="5">
        <v>0</v>
      </c>
      <c r="V84" s="5">
        <v>0</v>
      </c>
      <c r="W84" s="5">
        <v>37499.94</v>
      </c>
      <c r="X84" s="5">
        <v>29747.699999999997</v>
      </c>
      <c r="Y84" s="5">
        <v>6792.94</v>
      </c>
    </row>
    <row r="85" spans="1:25" x14ac:dyDescent="0.25">
      <c r="A85" s="10" t="str">
        <f t="shared" si="14"/>
        <v>A00000016</v>
      </c>
      <c r="B85" s="10" t="str">
        <f t="shared" si="15"/>
        <v>Thomas Edward Grayson</v>
      </c>
      <c r="C85" s="10">
        <f t="shared" si="16"/>
        <v>51</v>
      </c>
      <c r="D85" s="10" t="str">
        <f>IF(AND(Y85&gt;=Setup!$A$9,C85&gt;=Setup!$A$10),"Y","N")</f>
        <v>N</v>
      </c>
      <c r="E85" s="21">
        <f>IF(COUNTIF(Setup!A:A, R85) &gt; 0, U85, 0)</f>
        <v>0</v>
      </c>
      <c r="F85" s="22">
        <f>IF(COUNTIF(Setup!D:D, R85) &gt; 0, U85, 0)</f>
        <v>0</v>
      </c>
      <c r="G85" s="21">
        <f>IF(COUNTIF(Setup!G:G, R85) &gt; 0, U85, 0)</f>
        <v>0</v>
      </c>
      <c r="H85" s="22">
        <f>IF(COUNTIF(Setup!J:J, R85) &gt; 0, U85, 0)</f>
        <v>0</v>
      </c>
      <c r="I85" s="21">
        <f t="shared" si="17"/>
        <v>0</v>
      </c>
      <c r="J85" s="22">
        <f t="shared" si="18"/>
        <v>0</v>
      </c>
      <c r="K85" s="21">
        <f t="shared" si="19"/>
        <v>0</v>
      </c>
      <c r="L85" s="22">
        <f t="shared" si="20"/>
        <v>0</v>
      </c>
      <c r="M85" s="21">
        <f>IF(D85="Y",MAX(0,I85-Setup!$A$8),0)</f>
        <v>0</v>
      </c>
      <c r="N85" s="21">
        <f>IF(D85="Y",MAX(0,K85-Setup!$A$8),0)</f>
        <v>0</v>
      </c>
      <c r="O85" s="4" t="s">
        <v>114</v>
      </c>
      <c r="P85" s="4" t="s">
        <v>114</v>
      </c>
      <c r="Q85" s="4"/>
      <c r="R85" s="4" t="s">
        <v>52</v>
      </c>
      <c r="S85" s="4" t="s">
        <v>53</v>
      </c>
      <c r="T85" s="4"/>
      <c r="U85" s="5">
        <v>303.65999999999997</v>
      </c>
      <c r="V85" s="5">
        <v>0</v>
      </c>
      <c r="W85" s="5">
        <v>37499.94</v>
      </c>
      <c r="X85" s="5">
        <v>29747.699999999997</v>
      </c>
      <c r="Y85" s="5">
        <v>6792.94</v>
      </c>
    </row>
    <row r="86" spans="1:25" x14ac:dyDescent="0.25">
      <c r="A86" s="10" t="str">
        <f t="shared" si="14"/>
        <v>A00000016</v>
      </c>
      <c r="B86" s="10" t="str">
        <f t="shared" si="15"/>
        <v>Thomas Edward Grayson</v>
      </c>
      <c r="C86" s="10">
        <f t="shared" si="16"/>
        <v>51</v>
      </c>
      <c r="D86" s="10" t="str">
        <f>IF(AND(Y86&gt;=Setup!$A$9,C86&gt;=Setup!$A$10),"Y","N")</f>
        <v>N</v>
      </c>
      <c r="E86" s="21">
        <f>IF(COUNTIF(Setup!A:A, R86) &gt; 0, U86, 0)</f>
        <v>0</v>
      </c>
      <c r="F86" s="22">
        <f>IF(COUNTIF(Setup!D:D, R86) &gt; 0, U86, 0)</f>
        <v>0</v>
      </c>
      <c r="G86" s="21">
        <f>IF(COUNTIF(Setup!G:G, R86) &gt; 0, U86, 0)</f>
        <v>0</v>
      </c>
      <c r="H86" s="22">
        <f>IF(COUNTIF(Setup!J:J, R86) &gt; 0, U86, 0)</f>
        <v>0</v>
      </c>
      <c r="I86" s="21">
        <f t="shared" si="17"/>
        <v>0</v>
      </c>
      <c r="J86" s="22">
        <f t="shared" si="18"/>
        <v>0</v>
      </c>
      <c r="K86" s="21">
        <f t="shared" si="19"/>
        <v>0</v>
      </c>
      <c r="L86" s="22">
        <f t="shared" si="20"/>
        <v>0</v>
      </c>
      <c r="M86" s="21">
        <f>IF(D86="Y",MAX(0,I86-Setup!$A$8),0)</f>
        <v>0</v>
      </c>
      <c r="N86" s="21">
        <f>IF(D86="Y",MAX(0,K86-Setup!$A$8),0)</f>
        <v>0</v>
      </c>
      <c r="O86" s="4" t="s">
        <v>114</v>
      </c>
      <c r="P86" s="4" t="s">
        <v>114</v>
      </c>
      <c r="Q86" s="4"/>
      <c r="R86" s="4" t="s">
        <v>54</v>
      </c>
      <c r="S86" s="4" t="s">
        <v>55</v>
      </c>
      <c r="T86" s="4"/>
      <c r="U86" s="5">
        <v>0</v>
      </c>
      <c r="V86" s="5">
        <v>1251.24</v>
      </c>
      <c r="W86" s="5">
        <v>37499.94</v>
      </c>
      <c r="X86" s="5">
        <v>29747.699999999997</v>
      </c>
      <c r="Y86" s="5">
        <v>6792.94</v>
      </c>
    </row>
    <row r="87" spans="1:25" x14ac:dyDescent="0.25">
      <c r="A87" s="10" t="str">
        <f t="shared" si="14"/>
        <v>A00000017</v>
      </c>
      <c r="B87" s="10" t="str">
        <f t="shared" si="15"/>
        <v>Valentina Ruiz</v>
      </c>
      <c r="C87" s="10">
        <f t="shared" si="16"/>
        <v>53</v>
      </c>
      <c r="D87" s="10" t="str">
        <f>IF(AND(Y87&gt;=Setup!$A$9,C87&gt;=Setup!$A$10),"Y","N")</f>
        <v>N</v>
      </c>
      <c r="E87" s="21">
        <f>IF(COUNTIF(Setup!A:A, R87) &gt; 0, U87, 0)</f>
        <v>744.48</v>
      </c>
      <c r="F87" s="22">
        <f>IF(COUNTIF(Setup!D:D, R87) &gt; 0, U87, 0)</f>
        <v>0</v>
      </c>
      <c r="G87" s="21">
        <f>IF(COUNTIF(Setup!G:G, R87) &gt; 0, U87, 0)</f>
        <v>0</v>
      </c>
      <c r="H87" s="22">
        <f>IF(COUNTIF(Setup!J:J, R87) &gt; 0, U87, 0)</f>
        <v>0</v>
      </c>
      <c r="I87" s="21">
        <f t="shared" si="17"/>
        <v>744.48</v>
      </c>
      <c r="J87" s="22">
        <f t="shared" si="18"/>
        <v>450</v>
      </c>
      <c r="K87" s="21">
        <f t="shared" si="19"/>
        <v>450</v>
      </c>
      <c r="L87" s="22">
        <f t="shared" si="20"/>
        <v>450</v>
      </c>
      <c r="M87" s="21">
        <f>IF(D87="Y",MAX(0,I87-Setup!$A$8),0)</f>
        <v>0</v>
      </c>
      <c r="N87" s="21">
        <f>IF(D87="Y",MAX(0,K87-Setup!$A$8),0)</f>
        <v>0</v>
      </c>
      <c r="O87" s="4" t="s">
        <v>130</v>
      </c>
      <c r="P87" s="4" t="s">
        <v>149</v>
      </c>
      <c r="Q87" s="4">
        <v>53</v>
      </c>
      <c r="R87" s="4" t="s">
        <v>58</v>
      </c>
      <c r="S87" s="4" t="s">
        <v>59</v>
      </c>
      <c r="T87" s="4" t="s">
        <v>60</v>
      </c>
      <c r="U87" s="5">
        <v>744.48</v>
      </c>
      <c r="V87" s="5">
        <v>0</v>
      </c>
      <c r="W87" s="5">
        <v>24817.5</v>
      </c>
      <c r="X87" s="5">
        <v>22862.34</v>
      </c>
      <c r="Y87" s="5">
        <v>30726.98</v>
      </c>
    </row>
    <row r="88" spans="1:25" x14ac:dyDescent="0.25">
      <c r="A88" s="10" t="str">
        <f t="shared" si="14"/>
        <v>A00000017</v>
      </c>
      <c r="B88" s="10" t="str">
        <f t="shared" si="15"/>
        <v>Valentina Ruiz</v>
      </c>
      <c r="C88" s="10">
        <f t="shared" si="16"/>
        <v>53</v>
      </c>
      <c r="D88" s="10" t="str">
        <f>IF(AND(Y88&gt;=Setup!$A$9,C88&gt;=Setup!$A$10),"Y","N")</f>
        <v>N</v>
      </c>
      <c r="E88" s="21">
        <f>IF(COUNTIF(Setup!A:A, R88) &gt; 0, U88, 0)</f>
        <v>0</v>
      </c>
      <c r="F88" s="22">
        <f>IF(COUNTIF(Setup!D:D, R88) &gt; 0, U88, 0)</f>
        <v>0</v>
      </c>
      <c r="G88" s="21">
        <f>IF(COUNTIF(Setup!G:G, R88) &gt; 0, U88, 0)</f>
        <v>225</v>
      </c>
      <c r="H88" s="22">
        <f>IF(COUNTIF(Setup!J:J, R88) &gt; 0, U88, 0)</f>
        <v>0</v>
      </c>
      <c r="I88" s="21">
        <f t="shared" si="17"/>
        <v>0</v>
      </c>
      <c r="J88" s="22">
        <f t="shared" si="18"/>
        <v>0</v>
      </c>
      <c r="K88" s="21">
        <f t="shared" si="19"/>
        <v>0</v>
      </c>
      <c r="L88" s="22">
        <f t="shared" si="20"/>
        <v>0</v>
      </c>
      <c r="M88" s="21">
        <f>IF(D88="Y",MAX(0,I88-Setup!$A$8),0)</f>
        <v>0</v>
      </c>
      <c r="N88" s="21">
        <f>IF(D88="Y",MAX(0,K88-Setup!$A$8),0)</f>
        <v>0</v>
      </c>
      <c r="O88" s="4" t="s">
        <v>114</v>
      </c>
      <c r="P88" s="4" t="s">
        <v>114</v>
      </c>
      <c r="Q88" s="4"/>
      <c r="R88" s="4" t="s">
        <v>83</v>
      </c>
      <c r="S88" s="4" t="s">
        <v>84</v>
      </c>
      <c r="T88" s="4" t="s">
        <v>60</v>
      </c>
      <c r="U88" s="5">
        <v>225</v>
      </c>
      <c r="V88" s="5">
        <v>0</v>
      </c>
      <c r="W88" s="5">
        <v>27394.620000000003</v>
      </c>
      <c r="X88" s="5">
        <v>22862.34</v>
      </c>
      <c r="Y88" s="5">
        <v>30726.98</v>
      </c>
    </row>
    <row r="89" spans="1:25" x14ac:dyDescent="0.25">
      <c r="A89" s="10" t="str">
        <f t="shared" si="14"/>
        <v>A00000017</v>
      </c>
      <c r="B89" s="10" t="str">
        <f t="shared" si="15"/>
        <v>Valentina Ruiz</v>
      </c>
      <c r="C89" s="10">
        <f t="shared" si="16"/>
        <v>53</v>
      </c>
      <c r="D89" s="10" t="str">
        <f>IF(AND(Y89&gt;=Setup!$A$9,C89&gt;=Setup!$A$10),"Y","N")</f>
        <v>N</v>
      </c>
      <c r="E89" s="21">
        <f>IF(COUNTIF(Setup!A:A, R89) &gt; 0, U89, 0)</f>
        <v>0</v>
      </c>
      <c r="F89" s="22">
        <f>IF(COUNTIF(Setup!D:D, R89) &gt; 0, U89, 0)</f>
        <v>225</v>
      </c>
      <c r="G89" s="21">
        <f>IF(COUNTIF(Setup!G:G, R89) &gt; 0, U89, 0)</f>
        <v>0</v>
      </c>
      <c r="H89" s="22">
        <f>IF(COUNTIF(Setup!J:J, R89) &gt; 0, U89, 0)</f>
        <v>0</v>
      </c>
      <c r="I89" s="21">
        <f t="shared" si="17"/>
        <v>0</v>
      </c>
      <c r="J89" s="22">
        <f t="shared" si="18"/>
        <v>0</v>
      </c>
      <c r="K89" s="21">
        <f t="shared" si="19"/>
        <v>0</v>
      </c>
      <c r="L89" s="22">
        <f t="shared" si="20"/>
        <v>0</v>
      </c>
      <c r="M89" s="21">
        <f>IF(D89="Y",MAX(0,I89-Setup!$A$8),0)</f>
        <v>0</v>
      </c>
      <c r="N89" s="21">
        <f>IF(D89="Y",MAX(0,K89-Setup!$A$8),0)</f>
        <v>0</v>
      </c>
      <c r="O89" s="4" t="s">
        <v>114</v>
      </c>
      <c r="P89" s="4" t="s">
        <v>114</v>
      </c>
      <c r="Q89" s="4"/>
      <c r="R89" s="4" t="s">
        <v>85</v>
      </c>
      <c r="S89" s="4" t="s">
        <v>86</v>
      </c>
      <c r="T89" s="4" t="s">
        <v>60</v>
      </c>
      <c r="U89" s="5">
        <v>225</v>
      </c>
      <c r="V89" s="5">
        <v>0</v>
      </c>
      <c r="W89" s="5">
        <v>27394.620000000003</v>
      </c>
      <c r="X89" s="5">
        <v>22862.34</v>
      </c>
      <c r="Y89" s="5">
        <v>30726.98</v>
      </c>
    </row>
    <row r="90" spans="1:25" x14ac:dyDescent="0.25">
      <c r="A90" s="10" t="str">
        <f t="shared" si="14"/>
        <v>A00000017</v>
      </c>
      <c r="B90" s="10" t="str">
        <f t="shared" si="15"/>
        <v>Valentina Ruiz</v>
      </c>
      <c r="C90" s="10">
        <f t="shared" si="16"/>
        <v>53</v>
      </c>
      <c r="D90" s="10" t="str">
        <f>IF(AND(Y90&gt;=Setup!$A$9,C90&gt;=Setup!$A$10),"Y","N")</f>
        <v>N</v>
      </c>
      <c r="E90" s="21">
        <f>IF(COUNTIF(Setup!A:A, R90) &gt; 0, U90, 0)</f>
        <v>0</v>
      </c>
      <c r="F90" s="22">
        <f>IF(COUNTIF(Setup!D:D, R90) &gt; 0, U90, 0)</f>
        <v>0</v>
      </c>
      <c r="G90" s="21">
        <f>IF(COUNTIF(Setup!G:G, R90) &gt; 0, U90, 0)</f>
        <v>0</v>
      </c>
      <c r="H90" s="22">
        <f>IF(COUNTIF(Setup!J:J, R90) &gt; 0, U90, 0)</f>
        <v>225</v>
      </c>
      <c r="I90" s="21">
        <f t="shared" si="17"/>
        <v>0</v>
      </c>
      <c r="J90" s="22">
        <f t="shared" si="18"/>
        <v>0</v>
      </c>
      <c r="K90" s="21">
        <f t="shared" si="19"/>
        <v>0</v>
      </c>
      <c r="L90" s="22">
        <f t="shared" si="20"/>
        <v>0</v>
      </c>
      <c r="M90" s="21">
        <f>IF(D90="Y",MAX(0,I90-Setup!$A$8),0)</f>
        <v>0</v>
      </c>
      <c r="N90" s="21">
        <f>IF(D90="Y",MAX(0,K90-Setup!$A$8),0)</f>
        <v>0</v>
      </c>
      <c r="O90" s="4" t="s">
        <v>114</v>
      </c>
      <c r="P90" s="4" t="s">
        <v>114</v>
      </c>
      <c r="Q90" s="4"/>
      <c r="R90" s="4" t="s">
        <v>92</v>
      </c>
      <c r="S90" s="4" t="s">
        <v>93</v>
      </c>
      <c r="T90" s="4" t="s">
        <v>60</v>
      </c>
      <c r="U90" s="5">
        <v>225</v>
      </c>
      <c r="V90" s="5">
        <v>0</v>
      </c>
      <c r="W90" s="5">
        <v>27394.620000000003</v>
      </c>
      <c r="X90" s="5">
        <v>22862.34</v>
      </c>
      <c r="Y90" s="5">
        <v>30726.98</v>
      </c>
    </row>
    <row r="91" spans="1:25" x14ac:dyDescent="0.25">
      <c r="A91" s="10" t="str">
        <f t="shared" si="14"/>
        <v>A00000017</v>
      </c>
      <c r="B91" s="10" t="str">
        <f t="shared" si="15"/>
        <v>Valentina Ruiz</v>
      </c>
      <c r="C91" s="10">
        <f t="shared" si="16"/>
        <v>53</v>
      </c>
      <c r="D91" s="10" t="str">
        <f>IF(AND(Y91&gt;=Setup!$A$9,C91&gt;=Setup!$A$10),"Y","N")</f>
        <v>N</v>
      </c>
      <c r="E91" s="21">
        <f>IF(COUNTIF(Setup!A:A, R91) &gt; 0, U91, 0)</f>
        <v>0</v>
      </c>
      <c r="F91" s="22">
        <f>IF(COUNTIF(Setup!D:D, R91) &gt; 0, U91, 0)</f>
        <v>0</v>
      </c>
      <c r="G91" s="21">
        <f>IF(COUNTIF(Setup!G:G, R91) &gt; 0, U91, 0)</f>
        <v>225</v>
      </c>
      <c r="H91" s="22">
        <f>IF(COUNTIF(Setup!J:J, R91) &gt; 0, U91, 0)</f>
        <v>0</v>
      </c>
      <c r="I91" s="21">
        <f t="shared" si="17"/>
        <v>0</v>
      </c>
      <c r="J91" s="22">
        <f t="shared" si="18"/>
        <v>0</v>
      </c>
      <c r="K91" s="21">
        <f t="shared" si="19"/>
        <v>0</v>
      </c>
      <c r="L91" s="22">
        <f t="shared" si="20"/>
        <v>0</v>
      </c>
      <c r="M91" s="21">
        <f>IF(D91="Y",MAX(0,I91-Setup!$A$8),0)</f>
        <v>0</v>
      </c>
      <c r="N91" s="21">
        <f>IF(D91="Y",MAX(0,K91-Setup!$A$8),0)</f>
        <v>0</v>
      </c>
      <c r="O91" s="4" t="s">
        <v>114</v>
      </c>
      <c r="P91" s="4" t="s">
        <v>114</v>
      </c>
      <c r="Q91" s="4"/>
      <c r="R91" s="4" t="s">
        <v>90</v>
      </c>
      <c r="S91" s="4" t="s">
        <v>91</v>
      </c>
      <c r="T91" s="4" t="s">
        <v>60</v>
      </c>
      <c r="U91" s="5">
        <v>225</v>
      </c>
      <c r="V91" s="5">
        <v>0</v>
      </c>
      <c r="W91" s="5">
        <v>27394.620000000003</v>
      </c>
      <c r="X91" s="5">
        <v>22862.34</v>
      </c>
      <c r="Y91" s="5">
        <v>30726.98</v>
      </c>
    </row>
    <row r="92" spans="1:25" x14ac:dyDescent="0.25">
      <c r="A92" s="10" t="str">
        <f t="shared" si="14"/>
        <v>A00000017</v>
      </c>
      <c r="B92" s="10" t="str">
        <f t="shared" si="15"/>
        <v>Valentina Ruiz</v>
      </c>
      <c r="C92" s="10">
        <f t="shared" si="16"/>
        <v>53</v>
      </c>
      <c r="D92" s="10" t="str">
        <f>IF(AND(Y92&gt;=Setup!$A$9,C92&gt;=Setup!$A$10),"Y","N")</f>
        <v>N</v>
      </c>
      <c r="E92" s="21">
        <f>IF(COUNTIF(Setup!A:A, R92) &gt; 0, U92, 0)</f>
        <v>0</v>
      </c>
      <c r="F92" s="22">
        <f>IF(COUNTIF(Setup!D:D, R92) &gt; 0, U92, 0)</f>
        <v>225</v>
      </c>
      <c r="G92" s="21">
        <f>IF(COUNTIF(Setup!G:G, R92) &gt; 0, U92, 0)</f>
        <v>0</v>
      </c>
      <c r="H92" s="22">
        <f>IF(COUNTIF(Setup!J:J, R92) &gt; 0, U92, 0)</f>
        <v>0</v>
      </c>
      <c r="I92" s="21">
        <f t="shared" si="17"/>
        <v>0</v>
      </c>
      <c r="J92" s="22">
        <f t="shared" si="18"/>
        <v>0</v>
      </c>
      <c r="K92" s="21">
        <f t="shared" si="19"/>
        <v>0</v>
      </c>
      <c r="L92" s="22">
        <f t="shared" si="20"/>
        <v>0</v>
      </c>
      <c r="M92" s="21">
        <f>IF(D92="Y",MAX(0,I92-Setup!$A$8),0)</f>
        <v>0</v>
      </c>
      <c r="N92" s="21">
        <f>IF(D92="Y",MAX(0,K92-Setup!$A$8),0)</f>
        <v>0</v>
      </c>
      <c r="O92" s="4" t="s">
        <v>114</v>
      </c>
      <c r="P92" s="4" t="s">
        <v>114</v>
      </c>
      <c r="Q92" s="4"/>
      <c r="R92" s="4" t="s">
        <v>88</v>
      </c>
      <c r="S92" s="4" t="s">
        <v>89</v>
      </c>
      <c r="T92" s="4" t="s">
        <v>60</v>
      </c>
      <c r="U92" s="5">
        <v>225</v>
      </c>
      <c r="V92" s="5">
        <v>0</v>
      </c>
      <c r="W92" s="5">
        <v>27394.620000000003</v>
      </c>
      <c r="X92" s="5">
        <v>22862.34</v>
      </c>
      <c r="Y92" s="5">
        <v>30726.98</v>
      </c>
    </row>
    <row r="93" spans="1:25" x14ac:dyDescent="0.25">
      <c r="A93" s="10" t="str">
        <f t="shared" si="14"/>
        <v>A00000017</v>
      </c>
      <c r="B93" s="10" t="str">
        <f t="shared" si="15"/>
        <v>Valentina Ruiz</v>
      </c>
      <c r="C93" s="10">
        <f t="shared" si="16"/>
        <v>53</v>
      </c>
      <c r="D93" s="10" t="str">
        <f>IF(AND(Y93&gt;=Setup!$A$9,C93&gt;=Setup!$A$10),"Y","N")</f>
        <v>N</v>
      </c>
      <c r="E93" s="21">
        <f>IF(COUNTIF(Setup!A:A, R93) &gt; 0, U93, 0)</f>
        <v>0</v>
      </c>
      <c r="F93" s="22">
        <f>IF(COUNTIF(Setup!D:D, R93) &gt; 0, U93, 0)</f>
        <v>0</v>
      </c>
      <c r="G93" s="21">
        <f>IF(COUNTIF(Setup!G:G, R93) &gt; 0, U93, 0)</f>
        <v>0</v>
      </c>
      <c r="H93" s="22">
        <f>IF(COUNTIF(Setup!J:J, R93) &gt; 0, U93, 0)</f>
        <v>0</v>
      </c>
      <c r="I93" s="21">
        <f t="shared" si="17"/>
        <v>0</v>
      </c>
      <c r="J93" s="22">
        <f t="shared" si="18"/>
        <v>0</v>
      </c>
      <c r="K93" s="21">
        <f t="shared" si="19"/>
        <v>0</v>
      </c>
      <c r="L93" s="22">
        <f t="shared" si="20"/>
        <v>0</v>
      </c>
      <c r="M93" s="21">
        <f>IF(D93="Y",MAX(0,I93-Setup!$A$8),0)</f>
        <v>0</v>
      </c>
      <c r="N93" s="21">
        <f>IF(D93="Y",MAX(0,K93-Setup!$A$8),0)</f>
        <v>0</v>
      </c>
      <c r="O93" s="4" t="s">
        <v>114</v>
      </c>
      <c r="P93" s="4" t="s">
        <v>114</v>
      </c>
      <c r="Q93" s="4"/>
      <c r="R93" s="4" t="s">
        <v>67</v>
      </c>
      <c r="S93" s="4" t="s">
        <v>68</v>
      </c>
      <c r="T93" s="4" t="s">
        <v>81</v>
      </c>
      <c r="U93" s="5">
        <v>0</v>
      </c>
      <c r="V93" s="5">
        <v>587.34</v>
      </c>
      <c r="W93" s="5">
        <v>24817.5</v>
      </c>
      <c r="X93" s="5">
        <v>22862.34</v>
      </c>
      <c r="Y93" s="5">
        <v>30726.98</v>
      </c>
    </row>
    <row r="94" spans="1:25" x14ac:dyDescent="0.25">
      <c r="A94" s="10" t="str">
        <f t="shared" si="14"/>
        <v>A00000017</v>
      </c>
      <c r="B94" s="10" t="str">
        <f t="shared" si="15"/>
        <v>Valentina Ruiz</v>
      </c>
      <c r="C94" s="10">
        <f t="shared" si="16"/>
        <v>53</v>
      </c>
      <c r="D94" s="10" t="str">
        <f>IF(AND(Y94&gt;=Setup!$A$9,C94&gt;=Setup!$A$10),"Y","N")</f>
        <v>N</v>
      </c>
      <c r="E94" s="21">
        <f>IF(COUNTIF(Setup!A:A, R94) &gt; 0, U94, 0)</f>
        <v>0</v>
      </c>
      <c r="F94" s="22">
        <f>IF(COUNTIF(Setup!D:D, R94) &gt; 0, U94, 0)</f>
        <v>0</v>
      </c>
      <c r="G94" s="21">
        <f>IF(COUNTIF(Setup!G:G, R94) &gt; 0, U94, 0)</f>
        <v>0</v>
      </c>
      <c r="H94" s="22">
        <f>IF(COUNTIF(Setup!J:J, R94) &gt; 0, U94, 0)</f>
        <v>225</v>
      </c>
      <c r="I94" s="21">
        <f t="shared" si="17"/>
        <v>0</v>
      </c>
      <c r="J94" s="22">
        <f t="shared" si="18"/>
        <v>0</v>
      </c>
      <c r="K94" s="21">
        <f t="shared" si="19"/>
        <v>0</v>
      </c>
      <c r="L94" s="22">
        <f t="shared" si="20"/>
        <v>0</v>
      </c>
      <c r="M94" s="21">
        <f>IF(D94="Y",MAX(0,I94-Setup!$A$8),0)</f>
        <v>0</v>
      </c>
      <c r="N94" s="21">
        <f>IF(D94="Y",MAX(0,K94-Setup!$A$8),0)</f>
        <v>0</v>
      </c>
      <c r="O94" s="4" t="s">
        <v>114</v>
      </c>
      <c r="P94" s="4" t="s">
        <v>114</v>
      </c>
      <c r="Q94" s="4"/>
      <c r="R94" s="4" t="s">
        <v>82</v>
      </c>
      <c r="S94" s="4" t="s">
        <v>66</v>
      </c>
      <c r="T94" s="4" t="s">
        <v>60</v>
      </c>
      <c r="U94" s="5">
        <v>225</v>
      </c>
      <c r="V94" s="5">
        <v>0</v>
      </c>
      <c r="W94" s="5">
        <v>27394.620000000003</v>
      </c>
      <c r="X94" s="5">
        <v>22862.34</v>
      </c>
      <c r="Y94" s="5">
        <v>30726.98</v>
      </c>
    </row>
    <row r="95" spans="1:25" x14ac:dyDescent="0.25">
      <c r="A95" s="10" t="str">
        <f t="shared" si="14"/>
        <v>A00000018</v>
      </c>
      <c r="B95" s="10" t="str">
        <f t="shared" si="15"/>
        <v>Victor Santiago Perez</v>
      </c>
      <c r="C95" s="10">
        <f t="shared" si="16"/>
        <v>63</v>
      </c>
      <c r="D95" s="10" t="str">
        <f>IF(AND(Y95&gt;=Setup!$A$9,C95&gt;=Setup!$A$10),"Y","N")</f>
        <v>Y</v>
      </c>
      <c r="E95" s="21">
        <f>IF(COUNTIF(Setup!A:A, R95) &gt; 0, U95, 0)</f>
        <v>0</v>
      </c>
      <c r="F95" s="22">
        <f>IF(COUNTIF(Setup!D:D, R95) &gt; 0, U95, 0)</f>
        <v>0</v>
      </c>
      <c r="G95" s="21">
        <f>IF(COUNTIF(Setup!G:G, R95) &gt; 0, U95, 0)</f>
        <v>0</v>
      </c>
      <c r="H95" s="22">
        <f>IF(COUNTIF(Setup!J:J, R95) &gt; 0, U95, 0)</f>
        <v>0</v>
      </c>
      <c r="I95" s="21">
        <f t="shared" si="17"/>
        <v>27600</v>
      </c>
      <c r="J95" s="22">
        <f t="shared" si="18"/>
        <v>0</v>
      </c>
      <c r="K95" s="21">
        <f t="shared" si="19"/>
        <v>27600</v>
      </c>
      <c r="L95" s="22">
        <f t="shared" si="20"/>
        <v>0</v>
      </c>
      <c r="M95" s="21">
        <f>IF(D95="Y",MAX(0,I95-Setup!$A$8),0)</f>
        <v>3100</v>
      </c>
      <c r="N95" s="21">
        <f>IF(D95="Y",MAX(0,K95-Setup!$A$8),0)</f>
        <v>3100</v>
      </c>
      <c r="O95" s="4" t="s">
        <v>131</v>
      </c>
      <c r="P95" s="4" t="s">
        <v>136</v>
      </c>
      <c r="Q95" s="4">
        <v>63</v>
      </c>
      <c r="R95" s="4" t="s">
        <v>63</v>
      </c>
      <c r="S95" s="4" t="s">
        <v>64</v>
      </c>
      <c r="T95" s="4" t="s">
        <v>65</v>
      </c>
      <c r="U95" s="5">
        <v>0</v>
      </c>
      <c r="V95" s="5">
        <v>4715.0600000000004</v>
      </c>
      <c r="W95" s="5">
        <v>199227.41999999998</v>
      </c>
      <c r="X95" s="5">
        <v>183016.98</v>
      </c>
      <c r="Y95" s="5">
        <v>176100</v>
      </c>
    </row>
    <row r="96" spans="1:25" x14ac:dyDescent="0.25">
      <c r="A96" s="10" t="str">
        <f t="shared" si="14"/>
        <v>A00000018</v>
      </c>
      <c r="B96" s="10" t="str">
        <f t="shared" si="15"/>
        <v>Victor Santiago Perez</v>
      </c>
      <c r="C96" s="10">
        <f t="shared" si="16"/>
        <v>63</v>
      </c>
      <c r="D96" s="10" t="str">
        <f>IF(AND(Y96&gt;=Setup!$A$9,C96&gt;=Setup!$A$10),"Y","N")</f>
        <v>Y</v>
      </c>
      <c r="E96" s="21">
        <f>IF(COUNTIF(Setup!A:A, R96) &gt; 0, U96, 0)</f>
        <v>0</v>
      </c>
      <c r="F96" s="22">
        <f>IF(COUNTIF(Setup!D:D, R96) &gt; 0, U96, 0)</f>
        <v>0</v>
      </c>
      <c r="G96" s="21">
        <f>IF(COUNTIF(Setup!G:G, R96) &gt; 0, U96, 0)</f>
        <v>0</v>
      </c>
      <c r="H96" s="22">
        <f>IF(COUNTIF(Setup!J:J, R96) &gt; 0, U96, 0)</f>
        <v>0</v>
      </c>
      <c r="I96" s="21">
        <f t="shared" si="17"/>
        <v>0</v>
      </c>
      <c r="J96" s="22">
        <f t="shared" si="18"/>
        <v>0</v>
      </c>
      <c r="K96" s="21">
        <f t="shared" si="19"/>
        <v>0</v>
      </c>
      <c r="L96" s="22">
        <f t="shared" si="20"/>
        <v>0</v>
      </c>
      <c r="M96" s="21">
        <f>IF(D96="Y",MAX(0,I96-Setup!$A$8),0)</f>
        <v>0</v>
      </c>
      <c r="N96" s="21">
        <f>IF(D96="Y",MAX(0,K96-Setup!$A$8),0)</f>
        <v>0</v>
      </c>
      <c r="O96" s="4" t="s">
        <v>114</v>
      </c>
      <c r="P96" s="4" t="s">
        <v>114</v>
      </c>
      <c r="Q96" s="4"/>
      <c r="R96" s="4" t="s">
        <v>92</v>
      </c>
      <c r="S96" s="4" t="s">
        <v>93</v>
      </c>
      <c r="T96" s="4" t="s">
        <v>95</v>
      </c>
      <c r="U96" s="5">
        <v>0</v>
      </c>
      <c r="V96" s="5">
        <v>0</v>
      </c>
      <c r="W96" s="5">
        <v>199227.41999999998</v>
      </c>
      <c r="X96" s="5">
        <v>183016.98</v>
      </c>
      <c r="Y96" s="5">
        <v>176100</v>
      </c>
    </row>
    <row r="97" spans="1:25" x14ac:dyDescent="0.25">
      <c r="A97" s="10" t="str">
        <f t="shared" si="14"/>
        <v>A00000018</v>
      </c>
      <c r="B97" s="10" t="str">
        <f t="shared" si="15"/>
        <v>Victor Santiago Perez</v>
      </c>
      <c r="C97" s="10">
        <f t="shared" si="16"/>
        <v>63</v>
      </c>
      <c r="D97" s="10" t="str">
        <f>IF(AND(Y97&gt;=Setup!$A$9,C97&gt;=Setup!$A$10),"Y","N")</f>
        <v>Y</v>
      </c>
      <c r="E97" s="21">
        <f>IF(COUNTIF(Setup!A:A, R97) &gt; 0, U97, 0)</f>
        <v>0</v>
      </c>
      <c r="F97" s="22">
        <f>IF(COUNTIF(Setup!D:D, R97) &gt; 0, U97, 0)</f>
        <v>0</v>
      </c>
      <c r="G97" s="21">
        <f>IF(COUNTIF(Setup!G:G, R97) &gt; 0, U97, 0)</f>
        <v>0</v>
      </c>
      <c r="H97" s="22">
        <f>IF(COUNTIF(Setup!J:J, R97) &gt; 0, U97, 0)</f>
        <v>0</v>
      </c>
      <c r="I97" s="21">
        <f t="shared" si="17"/>
        <v>0</v>
      </c>
      <c r="J97" s="22">
        <f t="shared" si="18"/>
        <v>0</v>
      </c>
      <c r="K97" s="21">
        <f t="shared" si="19"/>
        <v>0</v>
      </c>
      <c r="L97" s="22">
        <f t="shared" si="20"/>
        <v>0</v>
      </c>
      <c r="M97" s="21">
        <f>IF(D97="Y",MAX(0,I97-Setup!$A$8),0)</f>
        <v>0</v>
      </c>
      <c r="N97" s="21">
        <f>IF(D97="Y",MAX(0,K97-Setup!$A$8),0)</f>
        <v>0</v>
      </c>
      <c r="O97" s="4" t="s">
        <v>114</v>
      </c>
      <c r="P97" s="4" t="s">
        <v>114</v>
      </c>
      <c r="Q97" s="4"/>
      <c r="R97" s="4" t="s">
        <v>88</v>
      </c>
      <c r="S97" s="4" t="s">
        <v>89</v>
      </c>
      <c r="T97" s="4" t="s">
        <v>60</v>
      </c>
      <c r="U97" s="5">
        <v>0</v>
      </c>
      <c r="V97" s="5">
        <v>0</v>
      </c>
      <c r="W97" s="5">
        <v>199227.41999999998</v>
      </c>
      <c r="X97" s="5">
        <v>183016.98</v>
      </c>
      <c r="Y97" s="5">
        <v>176100</v>
      </c>
    </row>
    <row r="98" spans="1:25" x14ac:dyDescent="0.25">
      <c r="A98" s="10" t="str">
        <f t="shared" si="14"/>
        <v>A00000018</v>
      </c>
      <c r="B98" s="10" t="str">
        <f t="shared" si="15"/>
        <v>Victor Santiago Perez</v>
      </c>
      <c r="C98" s="10">
        <f t="shared" si="16"/>
        <v>63</v>
      </c>
      <c r="D98" s="10" t="str">
        <f>IF(AND(Y98&gt;=Setup!$A$9,C98&gt;=Setup!$A$10),"Y","N")</f>
        <v>Y</v>
      </c>
      <c r="E98" s="21">
        <f>IF(COUNTIF(Setup!A:A, R98) &gt; 0, U98, 0)</f>
        <v>0</v>
      </c>
      <c r="F98" s="22">
        <f>IF(COUNTIF(Setup!D:D, R98) &gt; 0, U98, 0)</f>
        <v>0</v>
      </c>
      <c r="G98" s="21">
        <f>IF(COUNTIF(Setup!G:G, R98) &gt; 0, U98, 0)</f>
        <v>27600</v>
      </c>
      <c r="H98" s="22">
        <f>IF(COUNTIF(Setup!J:J, R98) &gt; 0, U98, 0)</f>
        <v>0</v>
      </c>
      <c r="I98" s="21">
        <f t="shared" si="17"/>
        <v>0</v>
      </c>
      <c r="J98" s="22">
        <f t="shared" si="18"/>
        <v>0</v>
      </c>
      <c r="K98" s="21">
        <f t="shared" si="19"/>
        <v>0</v>
      </c>
      <c r="L98" s="22">
        <f t="shared" si="20"/>
        <v>0</v>
      </c>
      <c r="M98" s="21">
        <f>IF(D98="Y",MAX(0,I98-Setup!$A$8),0)</f>
        <v>0</v>
      </c>
      <c r="N98" s="21">
        <f>IF(D98="Y",MAX(0,K98-Setup!$A$8),0)</f>
        <v>0</v>
      </c>
      <c r="O98" s="4" t="s">
        <v>114</v>
      </c>
      <c r="P98" s="4" t="s">
        <v>114</v>
      </c>
      <c r="Q98" s="4"/>
      <c r="R98" s="4" t="s">
        <v>90</v>
      </c>
      <c r="S98" s="4" t="s">
        <v>91</v>
      </c>
      <c r="T98" s="4" t="s">
        <v>95</v>
      </c>
      <c r="U98" s="5">
        <v>27600</v>
      </c>
      <c r="V98" s="5">
        <v>0</v>
      </c>
      <c r="W98" s="5">
        <v>199227.41999999998</v>
      </c>
      <c r="X98" s="5">
        <v>183016.98</v>
      </c>
      <c r="Y98" s="5">
        <v>176100</v>
      </c>
    </row>
    <row r="99" spans="1:25" x14ac:dyDescent="0.25">
      <c r="A99" s="10" t="str">
        <f t="shared" si="14"/>
        <v>A00000018</v>
      </c>
      <c r="B99" s="10" t="str">
        <f t="shared" si="15"/>
        <v>Victor Santiago Perez</v>
      </c>
      <c r="C99" s="10">
        <f t="shared" si="16"/>
        <v>63</v>
      </c>
      <c r="D99" s="10" t="str">
        <f>IF(AND(Y99&gt;=Setup!$A$9,C99&gt;=Setup!$A$10),"Y","N")</f>
        <v>Y</v>
      </c>
      <c r="E99" s="21">
        <f>IF(COUNTIF(Setup!A:A, R99) &gt; 0, U99, 0)</f>
        <v>27600</v>
      </c>
      <c r="F99" s="22">
        <f>IF(COUNTIF(Setup!D:D, R99) &gt; 0, U99, 0)</f>
        <v>0</v>
      </c>
      <c r="G99" s="21">
        <f>IF(COUNTIF(Setup!G:G, R99) &gt; 0, U99, 0)</f>
        <v>0</v>
      </c>
      <c r="H99" s="22">
        <f>IF(COUNTIF(Setup!J:J, R99) &gt; 0, U99, 0)</f>
        <v>0</v>
      </c>
      <c r="I99" s="21">
        <f t="shared" si="17"/>
        <v>0</v>
      </c>
      <c r="J99" s="22">
        <f t="shared" si="18"/>
        <v>0</v>
      </c>
      <c r="K99" s="21">
        <f t="shared" si="19"/>
        <v>0</v>
      </c>
      <c r="L99" s="22">
        <f t="shared" si="20"/>
        <v>0</v>
      </c>
      <c r="M99" s="21">
        <f>IF(D99="Y",MAX(0,I99-Setup!$A$8),0)</f>
        <v>0</v>
      </c>
      <c r="N99" s="21">
        <f>IF(D99="Y",MAX(0,K99-Setup!$A$8),0)</f>
        <v>0</v>
      </c>
      <c r="O99" s="4" t="s">
        <v>114</v>
      </c>
      <c r="P99" s="4" t="s">
        <v>114</v>
      </c>
      <c r="Q99" s="4"/>
      <c r="R99" s="4" t="s">
        <v>94</v>
      </c>
      <c r="S99" s="4" t="s">
        <v>80</v>
      </c>
      <c r="T99" s="4" t="s">
        <v>60</v>
      </c>
      <c r="U99" s="5">
        <v>27600</v>
      </c>
      <c r="V99" s="5">
        <v>0</v>
      </c>
      <c r="W99" s="5">
        <v>199227.41999999998</v>
      </c>
      <c r="X99" s="5">
        <v>183016.98</v>
      </c>
      <c r="Y99" s="5">
        <v>176100</v>
      </c>
    </row>
    <row r="100" spans="1:25" x14ac:dyDescent="0.25">
      <c r="A100" s="10" t="str">
        <f t="shared" ref="A100:A107" si="21">IF(O100="",A99,O100)</f>
        <v>A00000003</v>
      </c>
      <c r="B100" s="10" t="str">
        <f t="shared" ref="B100:B107" si="22">IF(P100="",B99,P100)</f>
        <v>Claire Elizabeth Monroe</v>
      </c>
      <c r="C100" s="10">
        <f t="shared" ref="C100:C107" si="23">IF(Q100="",C99,Q100)</f>
        <v>57</v>
      </c>
      <c r="D100" s="10" t="str">
        <f>IF(AND(Y100&gt;=Setup!$A$9,C100&gt;=Setup!$A$10),"Y","N")</f>
        <v>N</v>
      </c>
      <c r="E100" s="21">
        <f>IF(COUNTIF(Setup!A:A, R100) &gt; 0, U100, 0)</f>
        <v>0</v>
      </c>
      <c r="F100" s="22">
        <f>IF(COUNTIF(Setup!D:D, R100) &gt; 0, U100, 0)</f>
        <v>0</v>
      </c>
      <c r="G100" s="21">
        <f>IF(COUNTIF(Setup!G:G, R100) &gt; 0, U100, 0)</f>
        <v>0</v>
      </c>
      <c r="H100" s="22">
        <f>IF(COUNTIF(Setup!J:J, R100) &gt; 0, U100, 0)</f>
        <v>0</v>
      </c>
      <c r="I100" s="21">
        <f t="shared" ref="I100:I107" si="24">SUMIFS(E:E,$A:$A,$O100)</f>
        <v>0</v>
      </c>
      <c r="J100" s="22">
        <f t="shared" ref="J100:J107" si="25">SUMIFS(F:F,$A:$A,$O100)</f>
        <v>28733.24</v>
      </c>
      <c r="K100" s="21">
        <f t="shared" ref="K100:K107" si="26">SUMIFS(G:G,$A:$A,$O100)</f>
        <v>26300</v>
      </c>
      <c r="L100" s="22">
        <f t="shared" ref="L100:L107" si="27">SUMIFS(H:H,$A:$A,$O100)</f>
        <v>4373.84</v>
      </c>
      <c r="M100" s="21">
        <f>IF(D100="Y",MAX(0,I100-Setup!$A$8),0)</f>
        <v>0</v>
      </c>
      <c r="N100" s="21">
        <f>IF(D100="Y",MAX(0,K100-Setup!$A$8),0)</f>
        <v>0</v>
      </c>
      <c r="O100" s="4" t="s">
        <v>116</v>
      </c>
      <c r="P100" s="4" t="s">
        <v>138</v>
      </c>
      <c r="Q100" s="4">
        <v>57</v>
      </c>
      <c r="R100" s="4" t="s">
        <v>63</v>
      </c>
      <c r="S100" s="4" t="s">
        <v>64</v>
      </c>
      <c r="T100" s="4"/>
      <c r="U100" s="5">
        <v>0</v>
      </c>
      <c r="V100" s="5">
        <v>5250.66</v>
      </c>
      <c r="W100" s="5">
        <v>221858.27999999997</v>
      </c>
    </row>
    <row r="101" spans="1:25" x14ac:dyDescent="0.25">
      <c r="A101" s="10" t="str">
        <f t="shared" si="21"/>
        <v>A00000003</v>
      </c>
      <c r="B101" s="10" t="str">
        <f t="shared" si="22"/>
        <v>Claire Elizabeth Monroe</v>
      </c>
      <c r="C101" s="10">
        <f t="shared" si="23"/>
        <v>57</v>
      </c>
      <c r="D101" s="10" t="str">
        <f>IF(AND(Y101&gt;=Setup!$A$9,C101&gt;=Setup!$A$10),"Y","N")</f>
        <v>N</v>
      </c>
      <c r="E101" s="21">
        <f>IF(COUNTIF(Setup!A:A, R101) &gt; 0, U101, 0)</f>
        <v>0</v>
      </c>
      <c r="F101" s="22">
        <f>IF(COUNTIF(Setup!D:D, R101) &gt; 0, U101, 0)</f>
        <v>0</v>
      </c>
      <c r="G101" s="21">
        <f>IF(COUNTIF(Setup!G:G, R101) &gt; 0, U101, 0)</f>
        <v>0</v>
      </c>
      <c r="H101" s="22">
        <f>IF(COUNTIF(Setup!J:J, R101) &gt; 0, U101, 0)</f>
        <v>200</v>
      </c>
      <c r="I101" s="21">
        <f t="shared" si="24"/>
        <v>0</v>
      </c>
      <c r="J101" s="22">
        <f t="shared" si="25"/>
        <v>28733.24</v>
      </c>
      <c r="K101" s="21">
        <f t="shared" si="26"/>
        <v>26300</v>
      </c>
      <c r="L101" s="22">
        <f t="shared" si="27"/>
        <v>4373.84</v>
      </c>
      <c r="M101" s="21">
        <f>IF(D101="Y",MAX(0,I101-Setup!$A$8),0)</f>
        <v>0</v>
      </c>
      <c r="N101" s="21">
        <f>IF(D101="Y",MAX(0,K101-Setup!$A$8),0)</f>
        <v>0</v>
      </c>
      <c r="O101" s="4" t="s">
        <v>116</v>
      </c>
      <c r="P101" s="4" t="s">
        <v>138</v>
      </c>
      <c r="Q101" s="4">
        <v>57</v>
      </c>
      <c r="R101" s="4" t="s">
        <v>82</v>
      </c>
      <c r="S101" s="4" t="s">
        <v>66</v>
      </c>
      <c r="T101" s="4"/>
      <c r="U101" s="5">
        <v>200</v>
      </c>
      <c r="V101" s="5">
        <v>0</v>
      </c>
      <c r="W101" s="5">
        <v>148505.51999999999</v>
      </c>
    </row>
    <row r="102" spans="1:25" x14ac:dyDescent="0.25">
      <c r="A102" s="10" t="str">
        <f t="shared" si="21"/>
        <v>A00000003</v>
      </c>
      <c r="B102" s="10" t="str">
        <f t="shared" si="22"/>
        <v>Claire Elizabeth Monroe</v>
      </c>
      <c r="C102" s="10">
        <f t="shared" si="23"/>
        <v>57</v>
      </c>
      <c r="D102" s="10" t="str">
        <f>IF(AND(Y102&gt;=Setup!$A$9,C102&gt;=Setup!$A$10),"Y","N")</f>
        <v>N</v>
      </c>
      <c r="E102" s="21">
        <f>IF(COUNTIF(Setup!A:A, R102) &gt; 0, U102, 0)</f>
        <v>0</v>
      </c>
      <c r="F102" s="22">
        <f>IF(COUNTIF(Setup!D:D, R102) &gt; 0, U102, 0)</f>
        <v>0</v>
      </c>
      <c r="G102" s="21">
        <f>IF(COUNTIF(Setup!G:G, R102) &gt; 0, U102, 0)</f>
        <v>1800</v>
      </c>
      <c r="H102" s="22">
        <f>IF(COUNTIF(Setup!J:J, R102) &gt; 0, U102, 0)</f>
        <v>0</v>
      </c>
      <c r="I102" s="21">
        <f t="shared" si="24"/>
        <v>0</v>
      </c>
      <c r="J102" s="22">
        <f t="shared" si="25"/>
        <v>28733.24</v>
      </c>
      <c r="K102" s="21">
        <f t="shared" si="26"/>
        <v>26300</v>
      </c>
      <c r="L102" s="22">
        <f t="shared" si="27"/>
        <v>4373.84</v>
      </c>
      <c r="M102" s="21">
        <f>IF(D102="Y",MAX(0,I102-Setup!$A$8),0)</f>
        <v>0</v>
      </c>
      <c r="N102" s="21">
        <f>IF(D102="Y",MAX(0,K102-Setup!$A$8),0)</f>
        <v>0</v>
      </c>
      <c r="O102" s="4" t="s">
        <v>116</v>
      </c>
      <c r="P102" s="4" t="s">
        <v>138</v>
      </c>
      <c r="Q102" s="4">
        <v>57</v>
      </c>
      <c r="R102" s="4" t="s">
        <v>83</v>
      </c>
      <c r="S102" s="4" t="s">
        <v>84</v>
      </c>
      <c r="T102" s="4"/>
      <c r="U102" s="5">
        <v>1800</v>
      </c>
      <c r="V102" s="5">
        <v>0</v>
      </c>
      <c r="W102" s="5">
        <v>256889.03999999998</v>
      </c>
    </row>
    <row r="103" spans="1:25" x14ac:dyDescent="0.25">
      <c r="A103" s="10" t="str">
        <f t="shared" si="21"/>
        <v>A00000003</v>
      </c>
      <c r="B103" s="10" t="str">
        <f t="shared" si="22"/>
        <v>Claire Elizabeth Monroe</v>
      </c>
      <c r="C103" s="10">
        <f t="shared" si="23"/>
        <v>57</v>
      </c>
      <c r="D103" s="10" t="str">
        <f>IF(AND(Y103&gt;=Setup!$A$9,C103&gt;=Setup!$A$10),"Y","N")</f>
        <v>N</v>
      </c>
      <c r="E103" s="21">
        <f>IF(COUNTIF(Setup!A:A, R103) &gt; 0, U103, 0)</f>
        <v>0</v>
      </c>
      <c r="F103" s="22">
        <f>IF(COUNTIF(Setup!D:D, R103) &gt; 0, U103, 0)</f>
        <v>2000</v>
      </c>
      <c r="G103" s="21">
        <f>IF(COUNTIF(Setup!G:G, R103) &gt; 0, U103, 0)</f>
        <v>0</v>
      </c>
      <c r="H103" s="22">
        <f>IF(COUNTIF(Setup!J:J, R103) &gt; 0, U103, 0)</f>
        <v>0</v>
      </c>
      <c r="I103" s="21">
        <f t="shared" si="24"/>
        <v>0</v>
      </c>
      <c r="J103" s="22">
        <f t="shared" si="25"/>
        <v>28733.24</v>
      </c>
      <c r="K103" s="21">
        <f t="shared" si="26"/>
        <v>26300</v>
      </c>
      <c r="L103" s="22">
        <f t="shared" si="27"/>
        <v>4373.84</v>
      </c>
      <c r="M103" s="21">
        <f>IF(D103="Y",MAX(0,I103-Setup!$A$8),0)</f>
        <v>0</v>
      </c>
      <c r="N103" s="21">
        <f>IF(D103="Y",MAX(0,K103-Setup!$A$8),0)</f>
        <v>0</v>
      </c>
      <c r="O103" s="4" t="s">
        <v>116</v>
      </c>
      <c r="P103" s="4" t="s">
        <v>138</v>
      </c>
      <c r="Q103" s="4">
        <v>57</v>
      </c>
      <c r="R103" s="4" t="s">
        <v>85</v>
      </c>
      <c r="S103" s="4" t="s">
        <v>86</v>
      </c>
      <c r="T103" s="4"/>
      <c r="U103" s="5">
        <v>2000</v>
      </c>
      <c r="V103" s="5">
        <v>0</v>
      </c>
      <c r="W103" s="5">
        <v>256889.03999999998</v>
      </c>
    </row>
    <row r="104" spans="1:25" x14ac:dyDescent="0.25">
      <c r="A104" s="10" t="str">
        <f t="shared" si="21"/>
        <v>A00000004</v>
      </c>
      <c r="B104" s="10" t="str">
        <f t="shared" si="22"/>
        <v>Daniel R. Holloway</v>
      </c>
      <c r="C104" s="10">
        <f t="shared" si="23"/>
        <v>53</v>
      </c>
      <c r="D104" s="10" t="str">
        <f>IF(AND(Y104&gt;=Setup!$A$9,C104&gt;=Setup!$A$10),"Y","N")</f>
        <v>N</v>
      </c>
      <c r="E104" s="21">
        <f>IF(COUNTIF(Setup!A:A, R104) &gt; 0, U104, 0)</f>
        <v>0</v>
      </c>
      <c r="F104" s="22">
        <f>IF(COUNTIF(Setup!D:D, R104) &gt; 0, U104, 0)</f>
        <v>0</v>
      </c>
      <c r="G104" s="21">
        <f>IF(COUNTIF(Setup!G:G, R104) &gt; 0, U104, 0)</f>
        <v>0</v>
      </c>
      <c r="H104" s="22">
        <f>IF(COUNTIF(Setup!J:J, R104) &gt; 0, U104, 0)</f>
        <v>0</v>
      </c>
      <c r="I104" s="21">
        <f t="shared" si="24"/>
        <v>2295.7599999999998</v>
      </c>
      <c r="J104" s="22">
        <f t="shared" si="25"/>
        <v>750</v>
      </c>
      <c r="K104" s="21">
        <f t="shared" si="26"/>
        <v>0</v>
      </c>
      <c r="L104" s="22">
        <f t="shared" si="27"/>
        <v>0</v>
      </c>
      <c r="M104" s="21">
        <f>IF(D104="Y",MAX(0,I104-Setup!$A$8),0)</f>
        <v>0</v>
      </c>
      <c r="N104" s="21">
        <f>IF(D104="Y",MAX(0,K104-Setup!$A$8),0)</f>
        <v>0</v>
      </c>
      <c r="O104" s="4" t="s">
        <v>117</v>
      </c>
      <c r="P104" s="4" t="s">
        <v>139</v>
      </c>
      <c r="Q104" s="4">
        <v>53</v>
      </c>
      <c r="R104" s="4" t="s">
        <v>63</v>
      </c>
      <c r="S104" s="4" t="s">
        <v>64</v>
      </c>
      <c r="T104" s="4"/>
      <c r="U104" s="5">
        <v>0</v>
      </c>
      <c r="V104" s="5">
        <v>200</v>
      </c>
      <c r="W104" s="5">
        <v>63190.44</v>
      </c>
    </row>
    <row r="105" spans="1:25" x14ac:dyDescent="0.25">
      <c r="A105" s="10" t="str">
        <f t="shared" si="21"/>
        <v>A00000004</v>
      </c>
      <c r="B105" s="10" t="str">
        <f t="shared" si="22"/>
        <v>Daniel R. Holloway</v>
      </c>
      <c r="C105" s="10">
        <f t="shared" si="23"/>
        <v>53</v>
      </c>
      <c r="D105" s="10" t="str">
        <f>IF(AND(Y105&gt;=Setup!$A$9,C105&gt;=Setup!$A$10),"Y","N")</f>
        <v>N</v>
      </c>
      <c r="E105" s="21">
        <f>IF(COUNTIF(Setup!A:A, R105) &gt; 0, U105, 0)</f>
        <v>0</v>
      </c>
      <c r="F105" s="22">
        <f>IF(COUNTIF(Setup!D:D, R105) &gt; 0, U105, 0)</f>
        <v>300</v>
      </c>
      <c r="G105" s="21">
        <f>IF(COUNTIF(Setup!G:G, R105) &gt; 0, U105, 0)</f>
        <v>0</v>
      </c>
      <c r="H105" s="22">
        <f>IF(COUNTIF(Setup!J:J, R105) &gt; 0, U105, 0)</f>
        <v>0</v>
      </c>
      <c r="I105" s="21">
        <f t="shared" si="24"/>
        <v>2295.7599999999998</v>
      </c>
      <c r="J105" s="22">
        <f t="shared" si="25"/>
        <v>750</v>
      </c>
      <c r="K105" s="21">
        <f t="shared" si="26"/>
        <v>0</v>
      </c>
      <c r="L105" s="22">
        <f t="shared" si="27"/>
        <v>0</v>
      </c>
      <c r="M105" s="21">
        <f>IF(D105="Y",MAX(0,I105-Setup!$A$8),0)</f>
        <v>0</v>
      </c>
      <c r="N105" s="21">
        <f>IF(D105="Y",MAX(0,K105-Setup!$A$8),0)</f>
        <v>0</v>
      </c>
      <c r="O105" s="4" t="s">
        <v>117</v>
      </c>
      <c r="P105" s="4" t="s">
        <v>139</v>
      </c>
      <c r="Q105" s="4">
        <v>53</v>
      </c>
      <c r="R105" s="4" t="s">
        <v>88</v>
      </c>
      <c r="S105" s="4" t="s">
        <v>89</v>
      </c>
      <c r="T105" s="4"/>
      <c r="U105" s="5">
        <v>300</v>
      </c>
      <c r="V105" s="5">
        <v>0</v>
      </c>
      <c r="W105" s="5">
        <v>65134.680000000008</v>
      </c>
    </row>
    <row r="106" spans="1:25" x14ac:dyDescent="0.25">
      <c r="A106" s="10" t="str">
        <f t="shared" si="21"/>
        <v>A00000004</v>
      </c>
      <c r="B106" s="10" t="str">
        <f t="shared" si="22"/>
        <v>Daniel R. Holloway</v>
      </c>
      <c r="C106" s="10">
        <f t="shared" si="23"/>
        <v>53</v>
      </c>
      <c r="D106" s="10" t="str">
        <f>IF(AND(Y106&gt;=Setup!$A$9,C106&gt;=Setup!$A$10),"Y","N")</f>
        <v>N</v>
      </c>
      <c r="E106" s="21">
        <f>IF(COUNTIF(Setup!A:A, R106) &gt; 0, U106, 0)</f>
        <v>0</v>
      </c>
      <c r="F106" s="22">
        <f>IF(COUNTIF(Setup!D:D, R106) &gt; 0, U106, 0)</f>
        <v>0</v>
      </c>
      <c r="G106" s="21">
        <f>IF(COUNTIF(Setup!G:G, R106) &gt; 0, U106, 0)</f>
        <v>0</v>
      </c>
      <c r="H106" s="22">
        <f>IF(COUNTIF(Setup!J:J, R106) &gt; 0, U106, 0)</f>
        <v>0</v>
      </c>
      <c r="I106" s="21">
        <f t="shared" si="24"/>
        <v>2295.7599999999998</v>
      </c>
      <c r="J106" s="22">
        <f t="shared" si="25"/>
        <v>750</v>
      </c>
      <c r="K106" s="21">
        <f t="shared" si="26"/>
        <v>0</v>
      </c>
      <c r="L106" s="22">
        <f t="shared" si="27"/>
        <v>0</v>
      </c>
      <c r="M106" s="21">
        <f>IF(D106="Y",MAX(0,I106-Setup!$A$8),0)</f>
        <v>0</v>
      </c>
      <c r="N106" s="21">
        <f>IF(D106="Y",MAX(0,K106-Setup!$A$8),0)</f>
        <v>0</v>
      </c>
      <c r="O106" s="4" t="s">
        <v>117</v>
      </c>
      <c r="P106" s="4" t="s">
        <v>139</v>
      </c>
      <c r="Q106" s="4">
        <v>53</v>
      </c>
      <c r="R106" s="4" t="s">
        <v>67</v>
      </c>
      <c r="S106" s="4" t="s">
        <v>68</v>
      </c>
      <c r="T106" s="4"/>
      <c r="U106" s="5">
        <v>0</v>
      </c>
      <c r="V106" s="5">
        <v>500</v>
      </c>
      <c r="W106" s="5">
        <v>63190.44</v>
      </c>
    </row>
    <row r="107" spans="1:25" x14ac:dyDescent="0.25">
      <c r="A107" s="10" t="str">
        <f t="shared" si="21"/>
        <v>A00000004</v>
      </c>
      <c r="B107" s="10" t="str">
        <f t="shared" si="22"/>
        <v>Daniel R. Holloway</v>
      </c>
      <c r="C107" s="10">
        <f t="shared" si="23"/>
        <v>53</v>
      </c>
      <c r="D107" s="10" t="str">
        <f>IF(AND(Y107&gt;=Setup!$A$9,C107&gt;=Setup!$A$10),"Y","N")</f>
        <v>N</v>
      </c>
      <c r="E107" s="21">
        <f>IF(COUNTIF(Setup!A:A, R107) &gt; 0, U107, 0)</f>
        <v>400</v>
      </c>
      <c r="F107" s="22">
        <f>IF(COUNTIF(Setup!D:D, R107) &gt; 0, U107, 0)</f>
        <v>0</v>
      </c>
      <c r="G107" s="21">
        <f>IF(COUNTIF(Setup!G:G, R107) &gt; 0, U107, 0)</f>
        <v>0</v>
      </c>
      <c r="H107" s="22">
        <f>IF(COUNTIF(Setup!J:J, R107) &gt; 0, U107, 0)</f>
        <v>0</v>
      </c>
      <c r="I107" s="21">
        <f t="shared" si="24"/>
        <v>2295.7599999999998</v>
      </c>
      <c r="J107" s="22">
        <f t="shared" si="25"/>
        <v>750</v>
      </c>
      <c r="K107" s="21">
        <f t="shared" si="26"/>
        <v>0</v>
      </c>
      <c r="L107" s="22">
        <f t="shared" si="27"/>
        <v>0</v>
      </c>
      <c r="M107" s="21">
        <f>IF(D107="Y",MAX(0,I107-Setup!$A$8),0)</f>
        <v>0</v>
      </c>
      <c r="N107" s="21">
        <f>IF(D107="Y",MAX(0,K107-Setup!$A$8),0)</f>
        <v>0</v>
      </c>
      <c r="O107" s="4" t="s">
        <v>117</v>
      </c>
      <c r="P107" s="4" t="s">
        <v>139</v>
      </c>
      <c r="Q107" s="4">
        <v>53</v>
      </c>
      <c r="R107" s="4" t="s">
        <v>58</v>
      </c>
      <c r="S107" s="4" t="s">
        <v>59</v>
      </c>
      <c r="T107" s="4"/>
      <c r="U107" s="5">
        <v>400</v>
      </c>
      <c r="V107" s="5">
        <v>0</v>
      </c>
      <c r="W107" s="5">
        <v>63190.44</v>
      </c>
    </row>
  </sheetData>
  <sheetProtection sheet="1" objects="1" scenarios="1" formatCells="0" formatColumns="0" formatRows="0" insertHyperlinks="0" deleteRows="0" sort="0" autoFilter="0" pivotTables="0"/>
  <autoFilter ref="A1:Y107" xr:uid="{EB4AC694-5243-485B-8045-BF4A68B8FE98}"/>
  <conditionalFormatting sqref="M2:N107">
    <cfRule type="cellIs" dxfId="19" priority="3" operator="greaterThan">
      <formula>0</formula>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cellIs" priority="1" operator="greaterThan" id="{95DC0C4C-B546-43BF-9DC7-B529207F7438}">
            <xm:f>Setup!$A$8</xm:f>
            <x14:dxf>
              <font>
                <color rgb="FF9C5700"/>
              </font>
              <fill>
                <patternFill>
                  <bgColor rgb="FFFFEB9C"/>
                </patternFill>
              </fill>
            </x14:dxf>
          </x14:cfRule>
          <xm:sqref>I2:I107</xm:sqref>
        </x14:conditionalFormatting>
        <x14:conditionalFormatting xmlns:xm="http://schemas.microsoft.com/office/excel/2006/main">
          <x14:cfRule type="cellIs" priority="2" operator="greaterThan" id="{E5DD61ED-8284-4AB1-975B-C57778AB6721}">
            <xm:f>Setup!$A$8</xm:f>
            <x14:dxf>
              <font>
                <color rgb="FF9C5700"/>
              </font>
              <fill>
                <patternFill>
                  <bgColor rgb="FFFFEB9C"/>
                </patternFill>
              </fill>
            </x14:dxf>
          </x14:cfRule>
          <xm:sqref>K2:K107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3D70-7340-43F7-9A65-B4C3A22CC22F}">
  <dimension ref="A1:G1525"/>
  <sheetViews>
    <sheetView workbookViewId="0">
      <pane ySplit="3" topLeftCell="A4" activePane="bottomLeft" state="frozen"/>
      <selection pane="bottomLeft" activeCell="C4" sqref="C4"/>
    </sheetView>
  </sheetViews>
  <sheetFormatPr defaultColWidth="8.7109375" defaultRowHeight="15" x14ac:dyDescent="0.25"/>
  <cols>
    <col min="1" max="1" width="15.85546875" style="5" bestFit="1" customWidth="1"/>
    <col min="2" max="2" width="14.42578125" style="5" bestFit="1" customWidth="1"/>
    <col min="3" max="3" width="13.42578125" style="5" bestFit="1" customWidth="1"/>
    <col min="4" max="4" width="20.7109375" style="5" bestFit="1" customWidth="1"/>
    <col min="5" max="5" width="19.28515625" style="5" bestFit="1" customWidth="1"/>
    <col min="6" max="6" width="14.42578125" style="5" bestFit="1" customWidth="1"/>
    <col min="7" max="7" width="17.85546875" style="5" bestFit="1" customWidth="1"/>
    <col min="8" max="8" width="27.85546875" style="6" bestFit="1" customWidth="1"/>
    <col min="9" max="9" width="26.42578125" style="6" bestFit="1" customWidth="1"/>
    <col min="10" max="10" width="18.5703125" style="6" bestFit="1" customWidth="1"/>
    <col min="11" max="11" width="4.85546875" style="6" bestFit="1" customWidth="1"/>
    <col min="12" max="12" width="6.85546875" style="6" bestFit="1" customWidth="1"/>
    <col min="13" max="13" width="14.42578125" style="6" bestFit="1" customWidth="1"/>
    <col min="14" max="14" width="3.85546875" style="6" bestFit="1" customWidth="1"/>
    <col min="15" max="15" width="6.85546875" style="6" bestFit="1" customWidth="1"/>
    <col min="16" max="16" width="21.42578125" style="6" bestFit="1" customWidth="1"/>
    <col min="17" max="17" width="20" style="6" bestFit="1" customWidth="1"/>
    <col min="18" max="18" width="19.85546875" style="6" bestFit="1" customWidth="1"/>
    <col min="19" max="19" width="18.85546875" style="6" bestFit="1" customWidth="1"/>
    <col min="20" max="16384" width="8.7109375" style="6"/>
  </cols>
  <sheetData>
    <row r="1" spans="1:7" x14ac:dyDescent="0.25">
      <c r="A1" s="29"/>
      <c r="B1" s="29"/>
      <c r="C1" s="6"/>
      <c r="D1" s="6"/>
    </row>
    <row r="2" spans="1:7" x14ac:dyDescent="0.25">
      <c r="A2" s="43" t="s">
        <v>111</v>
      </c>
      <c r="B2" s="43"/>
      <c r="C2" s="5" t="s">
        <v>112</v>
      </c>
    </row>
    <row r="3" spans="1:7" x14ac:dyDescent="0.25">
      <c r="A3" s="31" t="s">
        <v>104</v>
      </c>
      <c r="B3" s="31" t="s">
        <v>105</v>
      </c>
      <c r="C3" s="7" t="s">
        <v>39</v>
      </c>
      <c r="D3" s="6" t="s">
        <v>41</v>
      </c>
      <c r="E3" s="6" t="s">
        <v>110</v>
      </c>
      <c r="F3"/>
      <c r="G3" s="6"/>
    </row>
    <row r="4" spans="1:7" x14ac:dyDescent="0.25">
      <c r="A4" s="32">
        <f>IFERROR(IF(VLOOKUP($C4,Data!$A:$D,4,0)="N",0,MAX(0,D4-Setup!$A$8)),)</f>
        <v>0</v>
      </c>
      <c r="B4" s="32">
        <f>IFERROR(IF(VLOOKUP($C4,Data!$A:$D,4,0)="N",0,MAX(0,E4-Setup!$A$8)),)</f>
        <v>0</v>
      </c>
      <c r="C4" s="8" t="s">
        <v>103</v>
      </c>
      <c r="D4" s="44"/>
      <c r="E4" s="44"/>
      <c r="F4"/>
      <c r="G4" s="6"/>
    </row>
    <row r="5" spans="1:7" x14ac:dyDescent="0.25">
      <c r="A5" s="30">
        <f>IFERROR(IF(VLOOKUP($C5,Data!$A:$D,4,0)="N",0,MAX(0,D5-Setup!$A$8)),)</f>
        <v>0</v>
      </c>
      <c r="B5" s="30">
        <f>IFERROR(IF(VLOOKUP($C5,Data!$A:$D,4,0)="N",0,MAX(0,E5-Setup!$A$8)),)</f>
        <v>0</v>
      </c>
      <c r="C5" s="8" t="s">
        <v>113</v>
      </c>
      <c r="D5" s="44">
        <v>1036.8000000000002</v>
      </c>
      <c r="E5" s="44">
        <v>0</v>
      </c>
      <c r="F5"/>
      <c r="G5" s="6"/>
    </row>
    <row r="6" spans="1:7" x14ac:dyDescent="0.25">
      <c r="A6" s="30">
        <f>IFERROR(IF(VLOOKUP($C6,Data!$A:$D,4,0)="N",0,MAX(0,D6-Setup!$A$8)),)</f>
        <v>0</v>
      </c>
      <c r="B6" s="30">
        <f>IFERROR(IF(VLOOKUP($C6,Data!$A:$D,4,0)="N",0,MAX(0,E6-Setup!$A$8)),)</f>
        <v>0</v>
      </c>
      <c r="C6" s="8" t="s">
        <v>115</v>
      </c>
      <c r="D6" s="44">
        <v>489.59999999999997</v>
      </c>
      <c r="E6" s="44">
        <v>0</v>
      </c>
      <c r="F6"/>
      <c r="G6" s="6"/>
    </row>
    <row r="7" spans="1:7" x14ac:dyDescent="0.25">
      <c r="A7" s="30">
        <f>IFERROR(IF(VLOOKUP($C7,Data!$A:$D,4,0)="N",0,MAX(0,D7-Setup!$A$8)),)</f>
        <v>0</v>
      </c>
      <c r="B7" s="30">
        <f>IFERROR(IF(VLOOKUP($C7,Data!$A:$D,4,0)="N",0,MAX(0,E7-Setup!$A$8)),)</f>
        <v>1800</v>
      </c>
      <c r="C7" s="8" t="s">
        <v>116</v>
      </c>
      <c r="D7" s="44">
        <v>0</v>
      </c>
      <c r="E7" s="44">
        <v>26300</v>
      </c>
      <c r="F7"/>
      <c r="G7" s="6"/>
    </row>
    <row r="8" spans="1:7" x14ac:dyDescent="0.25">
      <c r="A8" s="30">
        <f>IFERROR(IF(VLOOKUP($C8,Data!$A:$D,4,0)="N",0,MAX(0,D8-Setup!$A$8)),)</f>
        <v>0</v>
      </c>
      <c r="B8" s="30">
        <f>IFERROR(IF(VLOOKUP($C8,Data!$A:$D,4,0)="N",0,MAX(0,E8-Setup!$A$8)),)</f>
        <v>0</v>
      </c>
      <c r="C8" s="8" t="s">
        <v>117</v>
      </c>
      <c r="D8" s="44">
        <v>2295.7599999999998</v>
      </c>
      <c r="E8" s="44">
        <v>0</v>
      </c>
      <c r="F8"/>
      <c r="G8" s="6"/>
    </row>
    <row r="9" spans="1:7" x14ac:dyDescent="0.25">
      <c r="A9" s="30">
        <f>IFERROR(IF(VLOOKUP($C9,Data!$A:$D,4,0)="N",0,MAX(0,D9-Setup!$A$8)),)</f>
        <v>0</v>
      </c>
      <c r="B9" s="30">
        <f>IFERROR(IF(VLOOKUP($C9,Data!$A:$D,4,0)="N",0,MAX(0,E9-Setup!$A$8)),)</f>
        <v>0</v>
      </c>
      <c r="C9" s="8" t="s">
        <v>118</v>
      </c>
      <c r="D9" s="44">
        <v>3663</v>
      </c>
      <c r="E9" s="44">
        <v>4500</v>
      </c>
      <c r="F9"/>
      <c r="G9" s="6"/>
    </row>
    <row r="10" spans="1:7" x14ac:dyDescent="0.25">
      <c r="A10" s="30">
        <f>IFERROR(IF(VLOOKUP($C10,Data!$A:$D,4,0)="N",0,MAX(0,D10-Setup!$A$8)),)</f>
        <v>0</v>
      </c>
      <c r="B10" s="30">
        <f>IFERROR(IF(VLOOKUP($C10,Data!$A:$D,4,0)="N",0,MAX(0,E10-Setup!$A$8)),)</f>
        <v>0</v>
      </c>
      <c r="C10" s="8" t="s">
        <v>119</v>
      </c>
      <c r="D10" s="44">
        <v>1270.44</v>
      </c>
      <c r="E10" s="44">
        <v>1242</v>
      </c>
      <c r="F10"/>
      <c r="G10" s="6"/>
    </row>
    <row r="11" spans="1:7" x14ac:dyDescent="0.25">
      <c r="A11" s="30">
        <f>IFERROR(IF(VLOOKUP($C11,Data!$A:$D,4,0)="N",0,MAX(0,D11-Setup!$A$8)),)</f>
        <v>0</v>
      </c>
      <c r="B11" s="30">
        <f>IFERROR(IF(VLOOKUP($C11,Data!$A:$D,4,0)="N",0,MAX(0,E11-Setup!$A$8)),)</f>
        <v>0</v>
      </c>
      <c r="C11" s="8" t="s">
        <v>120</v>
      </c>
      <c r="D11" s="44">
        <v>0</v>
      </c>
      <c r="E11" s="44">
        <v>15750</v>
      </c>
      <c r="F11"/>
      <c r="G11" s="6"/>
    </row>
    <row r="12" spans="1:7" x14ac:dyDescent="0.25">
      <c r="A12" s="30">
        <f>IFERROR(IF(VLOOKUP($C12,Data!$A:$D,4,0)="N",0,MAX(0,D12-Setup!$A$8)),)</f>
        <v>0</v>
      </c>
      <c r="B12" s="30">
        <f>IFERROR(IF(VLOOKUP($C12,Data!$A:$D,4,0)="N",0,MAX(0,E12-Setup!$A$8)),)</f>
        <v>0</v>
      </c>
      <c r="C12" s="8" t="s">
        <v>121</v>
      </c>
      <c r="D12" s="44">
        <v>1595.52</v>
      </c>
      <c r="E12" s="44">
        <v>21412.44</v>
      </c>
      <c r="F12"/>
      <c r="G12" s="6"/>
    </row>
    <row r="13" spans="1:7" x14ac:dyDescent="0.25">
      <c r="A13" s="30">
        <f>IFERROR(IF(VLOOKUP($C13,Data!$A:$D,4,0)="N",0,MAX(0,D13-Setup!$A$8)),)</f>
        <v>0</v>
      </c>
      <c r="B13" s="30">
        <f>IFERROR(IF(VLOOKUP($C13,Data!$A:$D,4,0)="N",0,MAX(0,E13-Setup!$A$8)),)</f>
        <v>0</v>
      </c>
      <c r="C13" s="8" t="s">
        <v>122</v>
      </c>
      <c r="D13" s="44">
        <v>14517</v>
      </c>
      <c r="E13" s="44">
        <v>14571</v>
      </c>
      <c r="F13"/>
      <c r="G13" s="6"/>
    </row>
    <row r="14" spans="1:7" x14ac:dyDescent="0.25">
      <c r="A14" s="30">
        <f>IFERROR(IF(VLOOKUP($C14,Data!$A:$D,4,0)="N",0,MAX(0,D14-Setup!$A$8)),)</f>
        <v>0</v>
      </c>
      <c r="B14" s="30">
        <f>IFERROR(IF(VLOOKUP($C14,Data!$A:$D,4,0)="N",0,MAX(0,E14-Setup!$A$8)),)</f>
        <v>0</v>
      </c>
      <c r="C14" s="8" t="s">
        <v>123</v>
      </c>
      <c r="D14" s="44">
        <v>1288.98</v>
      </c>
      <c r="E14" s="44">
        <v>450</v>
      </c>
      <c r="F14"/>
      <c r="G14" s="6"/>
    </row>
    <row r="15" spans="1:7" x14ac:dyDescent="0.25">
      <c r="A15" s="30">
        <f>IFERROR(IF(VLOOKUP($C15,Data!$A:$D,4,0)="N",0,MAX(0,D15-Setup!$A$8)),)</f>
        <v>0</v>
      </c>
      <c r="B15" s="30">
        <f>IFERROR(IF(VLOOKUP($C15,Data!$A:$D,4,0)="N",0,MAX(0,E15-Setup!$A$8)),)</f>
        <v>0</v>
      </c>
      <c r="C15" s="8" t="s">
        <v>124</v>
      </c>
      <c r="D15" s="44">
        <v>3155.76</v>
      </c>
      <c r="E15" s="44">
        <v>911.69999999999993</v>
      </c>
      <c r="F15"/>
      <c r="G15" s="6"/>
    </row>
    <row r="16" spans="1:7" x14ac:dyDescent="0.25">
      <c r="A16" s="30">
        <f>IFERROR(IF(VLOOKUP($C16,Data!$A:$D,4,0)="N",0,MAX(0,D16-Setup!$A$8)),)</f>
        <v>0</v>
      </c>
      <c r="B16" s="30">
        <f>IFERROR(IF(VLOOKUP($C16,Data!$A:$D,4,0)="N",0,MAX(0,E16-Setup!$A$8)),)</f>
        <v>0</v>
      </c>
      <c r="C16" s="8" t="s">
        <v>125</v>
      </c>
      <c r="D16" s="44">
        <v>2970</v>
      </c>
      <c r="E16" s="44">
        <v>180</v>
      </c>
      <c r="F16"/>
      <c r="G16" s="6"/>
    </row>
    <row r="17" spans="1:7" x14ac:dyDescent="0.25">
      <c r="A17" s="30">
        <f>IFERROR(IF(VLOOKUP($C17,Data!$A:$D,4,0)="N",0,MAX(0,D17-Setup!$A$8)),)</f>
        <v>3270.2799999999988</v>
      </c>
      <c r="B17" s="30">
        <f>IFERROR(IF(VLOOKUP($C17,Data!$A:$D,4,0)="N",0,MAX(0,E17-Setup!$A$8)),)</f>
        <v>0</v>
      </c>
      <c r="C17" s="8" t="s">
        <v>126</v>
      </c>
      <c r="D17" s="44">
        <v>27770.28</v>
      </c>
      <c r="E17" s="44">
        <v>0</v>
      </c>
      <c r="F17"/>
      <c r="G17" s="6"/>
    </row>
    <row r="18" spans="1:7" x14ac:dyDescent="0.25">
      <c r="A18" s="30">
        <f>IFERROR(IF(VLOOKUP($C18,Data!$A:$D,4,0)="N",0,MAX(0,D18-Setup!$A$8)),)</f>
        <v>0</v>
      </c>
      <c r="B18" s="30">
        <f>IFERROR(IF(VLOOKUP($C18,Data!$A:$D,4,0)="N",0,MAX(0,E18-Setup!$A$8)),)</f>
        <v>0</v>
      </c>
      <c r="C18" s="8" t="s">
        <v>127</v>
      </c>
      <c r="D18" s="44">
        <v>3530.34</v>
      </c>
      <c r="E18" s="44">
        <v>5400</v>
      </c>
      <c r="F18"/>
      <c r="G18" s="6"/>
    </row>
    <row r="19" spans="1:7" x14ac:dyDescent="0.25">
      <c r="A19" s="30">
        <f>IFERROR(IF(VLOOKUP($C19,Data!$A:$D,4,0)="N",0,MAX(0,D19-Setup!$A$8)),)</f>
        <v>0</v>
      </c>
      <c r="B19" s="30">
        <f>IFERROR(IF(VLOOKUP($C19,Data!$A:$D,4,0)="N",0,MAX(0,E19-Setup!$A$8)),)</f>
        <v>0</v>
      </c>
      <c r="C19" s="8" t="s">
        <v>128</v>
      </c>
      <c r="D19" s="44">
        <v>0</v>
      </c>
      <c r="E19" s="44">
        <v>0</v>
      </c>
      <c r="F19"/>
      <c r="G19" s="6"/>
    </row>
    <row r="20" spans="1:7" x14ac:dyDescent="0.25">
      <c r="A20" s="30">
        <f>IFERROR(IF(VLOOKUP($C20,Data!$A:$D,4,0)="N",0,MAX(0,D20-Setup!$A$8)),)</f>
        <v>0</v>
      </c>
      <c r="B20" s="30">
        <f>IFERROR(IF(VLOOKUP($C20,Data!$A:$D,4,0)="N",0,MAX(0,E20-Setup!$A$8)),)</f>
        <v>0</v>
      </c>
      <c r="C20" s="8" t="s">
        <v>129</v>
      </c>
      <c r="D20" s="44">
        <v>1125</v>
      </c>
      <c r="E20" s="44">
        <v>0</v>
      </c>
      <c r="F20"/>
      <c r="G20" s="6"/>
    </row>
    <row r="21" spans="1:7" x14ac:dyDescent="0.25">
      <c r="A21" s="30">
        <f>IFERROR(IF(VLOOKUP($C21,Data!$A:$D,4,0)="N",0,MAX(0,D21-Setup!$A$8)),)</f>
        <v>0</v>
      </c>
      <c r="B21" s="30">
        <f>IFERROR(IF(VLOOKUP($C21,Data!$A:$D,4,0)="N",0,MAX(0,E21-Setup!$A$8)),)</f>
        <v>0</v>
      </c>
      <c r="C21" s="8" t="s">
        <v>130</v>
      </c>
      <c r="D21" s="44">
        <v>744.48</v>
      </c>
      <c r="E21" s="44">
        <v>450</v>
      </c>
      <c r="F21"/>
      <c r="G21" s="6"/>
    </row>
    <row r="22" spans="1:7" x14ac:dyDescent="0.25">
      <c r="A22" s="30">
        <f>IFERROR(IF(VLOOKUP($C22,Data!$A:$D,4,0)="N",0,MAX(0,D22-Setup!$A$8)),)</f>
        <v>3100</v>
      </c>
      <c r="B22" s="30">
        <f>IFERROR(IF(VLOOKUP($C22,Data!$A:$D,4,0)="N",0,MAX(0,E22-Setup!$A$8)),)</f>
        <v>3100</v>
      </c>
      <c r="C22" s="8" t="s">
        <v>131</v>
      </c>
      <c r="D22" s="44">
        <v>27600</v>
      </c>
      <c r="E22" s="44">
        <v>27600</v>
      </c>
      <c r="F22"/>
      <c r="G22" s="6"/>
    </row>
    <row r="23" spans="1:7" x14ac:dyDescent="0.25">
      <c r="A23" s="30">
        <f>IFERROR(IF(VLOOKUP($C23,Data!$A:$D,4,0)="N",0,MAX(0,D23-Setup!$A$8)),)</f>
        <v>0</v>
      </c>
      <c r="B23" s="30">
        <f>IFERROR(IF(VLOOKUP($C23,Data!$A:$D,4,0)="N",0,MAX(0,E23-Setup!$A$8)),)</f>
        <v>0</v>
      </c>
      <c r="C23" s="8" t="s">
        <v>40</v>
      </c>
      <c r="D23" s="44">
        <v>93052.959999999992</v>
      </c>
      <c r="E23" s="44">
        <v>118767.14</v>
      </c>
      <c r="F23"/>
      <c r="G23" s="6"/>
    </row>
    <row r="24" spans="1:7" x14ac:dyDescent="0.25">
      <c r="C24" s="6"/>
      <c r="D24" s="6"/>
      <c r="E24" s="6"/>
      <c r="F24" s="6"/>
      <c r="G24" s="6"/>
    </row>
    <row r="25" spans="1:7" x14ac:dyDescent="0.25">
      <c r="C25" s="6"/>
      <c r="D25" s="6"/>
      <c r="E25" s="6"/>
      <c r="F25" s="6"/>
      <c r="G25" s="6"/>
    </row>
    <row r="26" spans="1:7" x14ac:dyDescent="0.25">
      <c r="C26" s="6"/>
      <c r="D26" s="6"/>
      <c r="E26" s="6"/>
      <c r="F26" s="6"/>
      <c r="G26" s="6"/>
    </row>
    <row r="27" spans="1:7" x14ac:dyDescent="0.25">
      <c r="C27" s="6"/>
      <c r="D27" s="6"/>
      <c r="E27" s="6"/>
      <c r="F27" s="6"/>
      <c r="G27" s="6"/>
    </row>
    <row r="28" spans="1:7" x14ac:dyDescent="0.25">
      <c r="C28" s="6"/>
      <c r="D28" s="6"/>
      <c r="E28" s="6"/>
      <c r="F28" s="6"/>
      <c r="G28" s="6"/>
    </row>
    <row r="29" spans="1:7" x14ac:dyDescent="0.25">
      <c r="C29" s="6"/>
      <c r="D29" s="6"/>
      <c r="E29" s="6"/>
      <c r="F29" s="6"/>
      <c r="G29" s="6"/>
    </row>
    <row r="30" spans="1:7" x14ac:dyDescent="0.25">
      <c r="C30" s="6"/>
      <c r="D30" s="6"/>
      <c r="E30" s="6"/>
      <c r="F30" s="6"/>
      <c r="G30" s="6"/>
    </row>
    <row r="31" spans="1:7" x14ac:dyDescent="0.25">
      <c r="C31" s="6"/>
      <c r="D31" s="6"/>
      <c r="E31" s="6"/>
      <c r="F31" s="6"/>
      <c r="G31" s="6"/>
    </row>
    <row r="32" spans="1:7" x14ac:dyDescent="0.25">
      <c r="C32" s="6"/>
      <c r="D32" s="6"/>
      <c r="E32" s="6"/>
      <c r="F32" s="6"/>
      <c r="G32" s="6"/>
    </row>
    <row r="33" spans="3:7" x14ac:dyDescent="0.25">
      <c r="C33" s="6"/>
      <c r="D33" s="6"/>
      <c r="E33" s="6"/>
      <c r="F33" s="6"/>
      <c r="G33" s="6"/>
    </row>
    <row r="34" spans="3:7" x14ac:dyDescent="0.25">
      <c r="C34" s="6"/>
      <c r="D34" s="6"/>
      <c r="E34" s="6"/>
      <c r="F34" s="6"/>
      <c r="G34" s="6"/>
    </row>
    <row r="35" spans="3:7" x14ac:dyDescent="0.25">
      <c r="C35" s="6"/>
      <c r="D35" s="6"/>
      <c r="E35" s="6"/>
      <c r="F35" s="6"/>
      <c r="G35" s="6"/>
    </row>
    <row r="36" spans="3:7" x14ac:dyDescent="0.25">
      <c r="C36" s="6"/>
      <c r="D36" s="6"/>
      <c r="E36" s="6"/>
      <c r="F36" s="6"/>
      <c r="G36" s="6"/>
    </row>
    <row r="37" spans="3:7" x14ac:dyDescent="0.25">
      <c r="C37" s="6"/>
      <c r="D37" s="6"/>
      <c r="E37" s="6"/>
      <c r="F37" s="6"/>
      <c r="G37" s="6"/>
    </row>
    <row r="38" spans="3:7" x14ac:dyDescent="0.25">
      <c r="C38" s="6"/>
      <c r="D38" s="6"/>
      <c r="E38" s="6"/>
      <c r="F38" s="6"/>
      <c r="G38" s="6"/>
    </row>
    <row r="39" spans="3:7" x14ac:dyDescent="0.25">
      <c r="C39" s="6"/>
      <c r="D39" s="6"/>
      <c r="E39" s="6"/>
      <c r="F39" s="6"/>
      <c r="G39" s="6"/>
    </row>
    <row r="40" spans="3:7" x14ac:dyDescent="0.25">
      <c r="C40" s="6"/>
      <c r="D40" s="6"/>
      <c r="E40" s="6"/>
      <c r="F40" s="6"/>
      <c r="G40" s="6"/>
    </row>
    <row r="41" spans="3:7" x14ac:dyDescent="0.25">
      <c r="C41" s="6"/>
      <c r="D41" s="6"/>
      <c r="E41" s="6"/>
      <c r="F41" s="6"/>
      <c r="G41" s="6"/>
    </row>
    <row r="42" spans="3:7" x14ac:dyDescent="0.25">
      <c r="C42" s="6"/>
      <c r="D42" s="6"/>
      <c r="E42" s="6"/>
      <c r="F42" s="6"/>
      <c r="G42" s="6"/>
    </row>
    <row r="43" spans="3:7" x14ac:dyDescent="0.25">
      <c r="C43" s="6"/>
      <c r="D43" s="6"/>
      <c r="E43" s="6"/>
      <c r="F43" s="6"/>
      <c r="G43" s="6"/>
    </row>
    <row r="44" spans="3:7" x14ac:dyDescent="0.25">
      <c r="C44" s="6"/>
      <c r="D44" s="6"/>
      <c r="E44" s="6"/>
      <c r="F44" s="6"/>
      <c r="G44" s="6"/>
    </row>
    <row r="45" spans="3:7" x14ac:dyDescent="0.25">
      <c r="C45" s="6"/>
      <c r="D45" s="6"/>
      <c r="E45" s="6"/>
      <c r="F45" s="6"/>
      <c r="G45" s="6"/>
    </row>
    <row r="46" spans="3:7" x14ac:dyDescent="0.25">
      <c r="C46" s="6"/>
      <c r="D46" s="6"/>
      <c r="E46" s="6"/>
      <c r="F46" s="6"/>
      <c r="G46" s="6"/>
    </row>
    <row r="47" spans="3:7" x14ac:dyDescent="0.25">
      <c r="C47" s="6"/>
      <c r="D47" s="6"/>
      <c r="E47" s="6"/>
      <c r="F47" s="6"/>
      <c r="G47" s="6"/>
    </row>
    <row r="48" spans="3:7" x14ac:dyDescent="0.25">
      <c r="C48" s="6"/>
      <c r="D48" s="6"/>
      <c r="E48" s="6"/>
      <c r="F48" s="6"/>
      <c r="G48" s="6"/>
    </row>
    <row r="49" spans="3:7" x14ac:dyDescent="0.25">
      <c r="C49" s="6"/>
      <c r="D49" s="6"/>
      <c r="E49" s="6"/>
      <c r="F49" s="6"/>
      <c r="G49" s="6"/>
    </row>
    <row r="50" spans="3:7" x14ac:dyDescent="0.25">
      <c r="C50" s="6"/>
      <c r="D50" s="6"/>
      <c r="E50" s="6"/>
      <c r="F50" s="6"/>
      <c r="G50" s="6"/>
    </row>
    <row r="51" spans="3:7" x14ac:dyDescent="0.25">
      <c r="C51" s="6"/>
      <c r="D51" s="6"/>
      <c r="E51" s="6"/>
      <c r="F51" s="6"/>
      <c r="G51" s="6"/>
    </row>
    <row r="52" spans="3:7" x14ac:dyDescent="0.25">
      <c r="C52" s="6"/>
      <c r="D52" s="6"/>
      <c r="E52" s="6"/>
      <c r="F52" s="6"/>
      <c r="G52" s="6"/>
    </row>
    <row r="53" spans="3:7" x14ac:dyDescent="0.25">
      <c r="C53" s="6"/>
      <c r="D53" s="6"/>
      <c r="E53" s="6"/>
      <c r="F53" s="6"/>
      <c r="G53" s="6"/>
    </row>
    <row r="54" spans="3:7" x14ac:dyDescent="0.25">
      <c r="C54" s="6"/>
      <c r="D54" s="6"/>
      <c r="E54" s="6"/>
      <c r="F54" s="6"/>
      <c r="G54" s="6"/>
    </row>
    <row r="55" spans="3:7" x14ac:dyDescent="0.25">
      <c r="C55" s="6"/>
      <c r="D55" s="6"/>
      <c r="E55" s="6"/>
      <c r="F55" s="6"/>
      <c r="G55" s="6"/>
    </row>
    <row r="56" spans="3:7" x14ac:dyDescent="0.25">
      <c r="C56" s="6"/>
      <c r="D56" s="6"/>
      <c r="E56" s="6"/>
      <c r="F56" s="6"/>
      <c r="G56" s="6"/>
    </row>
    <row r="57" spans="3:7" x14ac:dyDescent="0.25">
      <c r="C57" s="6"/>
      <c r="D57" s="6"/>
      <c r="E57" s="6"/>
      <c r="F57" s="6"/>
      <c r="G57" s="6"/>
    </row>
    <row r="58" spans="3:7" x14ac:dyDescent="0.25">
      <c r="C58" s="6"/>
      <c r="D58" s="6"/>
      <c r="E58" s="6"/>
      <c r="F58" s="6"/>
      <c r="G58" s="6"/>
    </row>
    <row r="59" spans="3:7" x14ac:dyDescent="0.25">
      <c r="C59" s="6"/>
      <c r="D59" s="6"/>
      <c r="E59" s="6"/>
      <c r="F59" s="6"/>
      <c r="G59" s="6"/>
    </row>
    <row r="60" spans="3:7" x14ac:dyDescent="0.25">
      <c r="C60" s="6"/>
      <c r="D60" s="6"/>
      <c r="E60" s="6"/>
      <c r="F60" s="6"/>
      <c r="G60" s="6"/>
    </row>
    <row r="61" spans="3:7" x14ac:dyDescent="0.25">
      <c r="C61" s="6"/>
      <c r="D61" s="6"/>
      <c r="E61" s="6"/>
      <c r="F61" s="6"/>
      <c r="G61" s="6"/>
    </row>
    <row r="62" spans="3:7" x14ac:dyDescent="0.25">
      <c r="C62" s="6"/>
      <c r="D62" s="6"/>
      <c r="E62" s="6"/>
      <c r="F62" s="6"/>
      <c r="G62" s="6"/>
    </row>
    <row r="63" spans="3:7" x14ac:dyDescent="0.25">
      <c r="C63" s="6"/>
      <c r="D63" s="6"/>
      <c r="E63" s="6"/>
      <c r="F63" s="6"/>
      <c r="G63" s="6"/>
    </row>
    <row r="64" spans="3:7" x14ac:dyDescent="0.25">
      <c r="C64" s="6"/>
      <c r="D64" s="6"/>
      <c r="E64" s="6"/>
      <c r="F64" s="6"/>
      <c r="G64" s="6"/>
    </row>
    <row r="65" spans="3:7" x14ac:dyDescent="0.25">
      <c r="C65" s="6"/>
      <c r="D65" s="6"/>
      <c r="E65" s="6"/>
      <c r="F65" s="6"/>
      <c r="G65" s="6"/>
    </row>
    <row r="66" spans="3:7" x14ac:dyDescent="0.25">
      <c r="C66" s="6"/>
      <c r="D66" s="6"/>
      <c r="E66" s="6"/>
      <c r="F66" s="6"/>
      <c r="G66" s="6"/>
    </row>
    <row r="67" spans="3:7" x14ac:dyDescent="0.25">
      <c r="C67" s="6"/>
      <c r="D67" s="6"/>
      <c r="E67" s="6"/>
      <c r="F67" s="6"/>
      <c r="G67" s="6"/>
    </row>
    <row r="68" spans="3:7" x14ac:dyDescent="0.25">
      <c r="C68" s="6"/>
      <c r="D68" s="6"/>
      <c r="E68" s="6"/>
      <c r="F68" s="6"/>
      <c r="G68" s="6"/>
    </row>
    <row r="69" spans="3:7" x14ac:dyDescent="0.25">
      <c r="C69" s="6"/>
      <c r="D69" s="6"/>
      <c r="E69" s="6"/>
      <c r="F69" s="6"/>
      <c r="G69" s="6"/>
    </row>
    <row r="70" spans="3:7" x14ac:dyDescent="0.25">
      <c r="C70" s="6"/>
      <c r="D70" s="6"/>
      <c r="E70" s="6"/>
      <c r="F70" s="6"/>
      <c r="G70" s="6"/>
    </row>
    <row r="71" spans="3:7" x14ac:dyDescent="0.25">
      <c r="C71" s="6"/>
      <c r="D71" s="6"/>
      <c r="E71" s="6"/>
      <c r="F71" s="6"/>
      <c r="G71" s="6"/>
    </row>
    <row r="72" spans="3:7" x14ac:dyDescent="0.25">
      <c r="C72" s="6"/>
      <c r="D72" s="6"/>
      <c r="E72" s="6"/>
      <c r="F72" s="6"/>
      <c r="G72" s="6"/>
    </row>
    <row r="73" spans="3:7" x14ac:dyDescent="0.25">
      <c r="C73" s="6"/>
      <c r="D73" s="6"/>
      <c r="E73" s="6"/>
      <c r="F73" s="6"/>
      <c r="G73" s="6"/>
    </row>
    <row r="74" spans="3:7" x14ac:dyDescent="0.25">
      <c r="C74" s="6"/>
      <c r="D74" s="6"/>
      <c r="E74" s="6"/>
      <c r="F74" s="6"/>
      <c r="G74" s="6"/>
    </row>
    <row r="75" spans="3:7" x14ac:dyDescent="0.25">
      <c r="C75" s="6"/>
      <c r="D75" s="6"/>
      <c r="E75" s="6"/>
      <c r="F75" s="6"/>
      <c r="G75" s="6"/>
    </row>
    <row r="76" spans="3:7" x14ac:dyDescent="0.25">
      <c r="C76" s="6"/>
      <c r="D76" s="6"/>
      <c r="E76" s="6"/>
      <c r="F76" s="6"/>
      <c r="G76" s="6"/>
    </row>
    <row r="77" spans="3:7" x14ac:dyDescent="0.25">
      <c r="C77" s="6"/>
      <c r="D77" s="6"/>
      <c r="E77" s="6"/>
      <c r="F77" s="6"/>
      <c r="G77" s="6"/>
    </row>
    <row r="78" spans="3:7" x14ac:dyDescent="0.25">
      <c r="C78" s="6"/>
      <c r="D78" s="6"/>
      <c r="E78" s="6"/>
      <c r="F78" s="6"/>
      <c r="G78" s="6"/>
    </row>
    <row r="79" spans="3:7" x14ac:dyDescent="0.25">
      <c r="C79" s="6"/>
      <c r="D79" s="6"/>
      <c r="E79" s="6"/>
      <c r="F79" s="6"/>
      <c r="G79" s="6"/>
    </row>
    <row r="80" spans="3:7" x14ac:dyDescent="0.25">
      <c r="C80" s="6"/>
      <c r="D80" s="6"/>
      <c r="E80" s="6"/>
      <c r="F80" s="6"/>
      <c r="G80" s="6"/>
    </row>
    <row r="81" spans="3:7" x14ac:dyDescent="0.25">
      <c r="C81" s="6"/>
      <c r="D81" s="6"/>
      <c r="E81" s="6"/>
      <c r="F81" s="6"/>
      <c r="G81" s="6"/>
    </row>
    <row r="82" spans="3:7" x14ac:dyDescent="0.25">
      <c r="C82" s="6"/>
      <c r="D82" s="6"/>
      <c r="E82" s="6"/>
      <c r="F82" s="6"/>
      <c r="G82" s="6"/>
    </row>
    <row r="83" spans="3:7" x14ac:dyDescent="0.25">
      <c r="C83" s="6"/>
      <c r="D83" s="6"/>
      <c r="E83" s="6"/>
      <c r="F83" s="6"/>
      <c r="G83" s="6"/>
    </row>
    <row r="84" spans="3:7" x14ac:dyDescent="0.25">
      <c r="C84" s="6"/>
      <c r="D84" s="6"/>
      <c r="E84" s="6"/>
      <c r="F84" s="6"/>
      <c r="G84" s="6"/>
    </row>
    <row r="85" spans="3:7" x14ac:dyDescent="0.25">
      <c r="C85" s="6"/>
      <c r="D85" s="6"/>
      <c r="E85" s="6"/>
      <c r="F85" s="6"/>
      <c r="G85" s="6"/>
    </row>
    <row r="86" spans="3:7" x14ac:dyDescent="0.25">
      <c r="C86" s="6"/>
      <c r="D86" s="6"/>
      <c r="E86" s="6"/>
      <c r="F86" s="6"/>
      <c r="G86" s="6"/>
    </row>
    <row r="87" spans="3:7" x14ac:dyDescent="0.25">
      <c r="C87" s="6"/>
      <c r="D87" s="6"/>
      <c r="E87" s="6"/>
      <c r="F87" s="6"/>
      <c r="G87" s="6"/>
    </row>
    <row r="88" spans="3:7" x14ac:dyDescent="0.25">
      <c r="C88" s="6"/>
      <c r="D88" s="6"/>
      <c r="E88" s="6"/>
      <c r="F88" s="6"/>
      <c r="G88" s="6"/>
    </row>
    <row r="89" spans="3:7" x14ac:dyDescent="0.25">
      <c r="C89" s="6"/>
      <c r="D89" s="6"/>
      <c r="E89" s="6"/>
      <c r="F89" s="6"/>
      <c r="G89" s="6"/>
    </row>
    <row r="90" spans="3:7" x14ac:dyDescent="0.25">
      <c r="C90" s="6"/>
      <c r="D90" s="6"/>
      <c r="E90" s="6"/>
      <c r="F90" s="6"/>
      <c r="G90" s="6"/>
    </row>
    <row r="91" spans="3:7" x14ac:dyDescent="0.25">
      <c r="C91" s="6"/>
      <c r="D91" s="6"/>
      <c r="E91" s="6"/>
      <c r="F91" s="6"/>
      <c r="G91" s="6"/>
    </row>
    <row r="92" spans="3:7" x14ac:dyDescent="0.25">
      <c r="C92" s="6"/>
      <c r="D92" s="6"/>
      <c r="E92" s="6"/>
      <c r="F92" s="6"/>
      <c r="G92" s="6"/>
    </row>
    <row r="93" spans="3:7" x14ac:dyDescent="0.25">
      <c r="C93" s="6"/>
      <c r="D93" s="6"/>
      <c r="E93" s="6"/>
      <c r="F93" s="6"/>
      <c r="G93" s="6"/>
    </row>
    <row r="94" spans="3:7" x14ac:dyDescent="0.25">
      <c r="C94" s="6"/>
      <c r="D94" s="6"/>
      <c r="E94" s="6"/>
      <c r="F94" s="6"/>
      <c r="G94" s="6"/>
    </row>
    <row r="95" spans="3:7" x14ac:dyDescent="0.25">
      <c r="C95" s="6"/>
      <c r="D95" s="6"/>
      <c r="E95" s="6"/>
      <c r="F95" s="6"/>
      <c r="G95" s="6"/>
    </row>
    <row r="96" spans="3:7" x14ac:dyDescent="0.25">
      <c r="C96" s="6"/>
      <c r="D96" s="6"/>
      <c r="E96" s="6"/>
      <c r="F96" s="6"/>
      <c r="G96" s="6"/>
    </row>
    <row r="97" spans="3:7" x14ac:dyDescent="0.25">
      <c r="C97" s="6"/>
      <c r="D97" s="6"/>
      <c r="E97" s="6"/>
      <c r="F97" s="6"/>
      <c r="G97" s="6"/>
    </row>
    <row r="98" spans="3:7" x14ac:dyDescent="0.25">
      <c r="C98" s="6"/>
      <c r="D98" s="6"/>
      <c r="E98" s="6"/>
      <c r="F98" s="6"/>
      <c r="G98" s="6"/>
    </row>
    <row r="99" spans="3:7" x14ac:dyDescent="0.25">
      <c r="C99" s="6"/>
      <c r="D99" s="6"/>
      <c r="E99" s="6"/>
      <c r="F99" s="6"/>
      <c r="G99" s="6"/>
    </row>
    <row r="100" spans="3:7" x14ac:dyDescent="0.25">
      <c r="C100" s="6"/>
      <c r="D100" s="6"/>
      <c r="E100" s="6"/>
      <c r="F100" s="6"/>
      <c r="G100" s="6"/>
    </row>
    <row r="101" spans="3:7" x14ac:dyDescent="0.25">
      <c r="C101" s="6"/>
      <c r="D101" s="6"/>
      <c r="E101" s="6"/>
      <c r="F101" s="6"/>
      <c r="G101" s="6"/>
    </row>
    <row r="102" spans="3:7" x14ac:dyDescent="0.25">
      <c r="C102" s="6"/>
      <c r="D102" s="6"/>
      <c r="E102" s="6"/>
      <c r="F102" s="6"/>
      <c r="G102" s="6"/>
    </row>
    <row r="103" spans="3:7" x14ac:dyDescent="0.25">
      <c r="C103" s="6"/>
      <c r="D103" s="6"/>
      <c r="E103" s="6"/>
      <c r="F103" s="6"/>
      <c r="G103" s="6"/>
    </row>
    <row r="104" spans="3:7" x14ac:dyDescent="0.25">
      <c r="C104" s="6"/>
      <c r="D104" s="6"/>
      <c r="E104" s="6"/>
      <c r="F104" s="6"/>
      <c r="G104" s="6"/>
    </row>
    <row r="105" spans="3:7" x14ac:dyDescent="0.25">
      <c r="C105" s="6"/>
      <c r="D105" s="6"/>
      <c r="E105" s="6"/>
      <c r="F105" s="6"/>
      <c r="G105" s="6"/>
    </row>
    <row r="106" spans="3:7" x14ac:dyDescent="0.25">
      <c r="C106" s="6"/>
      <c r="D106" s="6"/>
      <c r="E106" s="6"/>
      <c r="F106" s="6"/>
      <c r="G106" s="6"/>
    </row>
    <row r="107" spans="3:7" x14ac:dyDescent="0.25">
      <c r="C107" s="6"/>
      <c r="D107" s="6"/>
      <c r="E107" s="6"/>
      <c r="F107" s="6"/>
      <c r="G107" s="6"/>
    </row>
    <row r="108" spans="3:7" x14ac:dyDescent="0.25">
      <c r="C108" s="6"/>
      <c r="D108" s="6"/>
      <c r="E108" s="6"/>
      <c r="F108" s="6"/>
      <c r="G108" s="6"/>
    </row>
    <row r="109" spans="3:7" x14ac:dyDescent="0.25">
      <c r="C109" s="6"/>
      <c r="D109" s="6"/>
      <c r="E109" s="6"/>
      <c r="F109" s="6"/>
      <c r="G109" s="6"/>
    </row>
    <row r="110" spans="3:7" x14ac:dyDescent="0.25">
      <c r="C110" s="6"/>
      <c r="D110" s="6"/>
      <c r="E110" s="6"/>
      <c r="F110" s="6"/>
      <c r="G110" s="6"/>
    </row>
    <row r="111" spans="3:7" x14ac:dyDescent="0.25">
      <c r="C111" s="6"/>
      <c r="D111" s="6"/>
      <c r="E111" s="6"/>
      <c r="F111" s="6"/>
      <c r="G111" s="6"/>
    </row>
    <row r="112" spans="3:7" x14ac:dyDescent="0.25">
      <c r="C112" s="6"/>
      <c r="D112" s="6"/>
      <c r="E112" s="6"/>
      <c r="F112" s="6"/>
      <c r="G112" s="6"/>
    </row>
    <row r="113" spans="3:7" x14ac:dyDescent="0.25">
      <c r="C113" s="6"/>
      <c r="D113" s="6"/>
      <c r="E113" s="6"/>
      <c r="F113" s="6"/>
      <c r="G113" s="6"/>
    </row>
    <row r="114" spans="3:7" x14ac:dyDescent="0.25">
      <c r="C114" s="6"/>
      <c r="D114" s="6"/>
      <c r="E114" s="6"/>
      <c r="F114" s="6"/>
      <c r="G114" s="6"/>
    </row>
    <row r="115" spans="3:7" x14ac:dyDescent="0.25">
      <c r="C115" s="6"/>
      <c r="D115" s="6"/>
      <c r="E115" s="6"/>
      <c r="F115" s="6"/>
      <c r="G115" s="6"/>
    </row>
    <row r="116" spans="3:7" x14ac:dyDescent="0.25">
      <c r="C116" s="6"/>
      <c r="D116" s="6"/>
      <c r="E116" s="6"/>
      <c r="F116" s="6"/>
      <c r="G116" s="6"/>
    </row>
    <row r="117" spans="3:7" x14ac:dyDescent="0.25">
      <c r="C117" s="6"/>
      <c r="D117" s="6"/>
      <c r="E117" s="6"/>
      <c r="F117" s="6"/>
      <c r="G117" s="6"/>
    </row>
    <row r="118" spans="3:7" x14ac:dyDescent="0.25">
      <c r="C118" s="6"/>
      <c r="D118" s="6"/>
      <c r="E118" s="6"/>
      <c r="F118" s="6"/>
      <c r="G118" s="6"/>
    </row>
    <row r="119" spans="3:7" x14ac:dyDescent="0.25">
      <c r="C119" s="6"/>
      <c r="D119" s="6"/>
      <c r="E119" s="6"/>
      <c r="F119" s="6"/>
      <c r="G119" s="6"/>
    </row>
    <row r="120" spans="3:7" x14ac:dyDescent="0.25">
      <c r="C120" s="6"/>
      <c r="D120" s="6"/>
      <c r="E120" s="6"/>
      <c r="F120" s="6"/>
      <c r="G120" s="6"/>
    </row>
    <row r="121" spans="3:7" x14ac:dyDescent="0.25">
      <c r="C121" s="6"/>
      <c r="D121" s="6"/>
      <c r="E121" s="6"/>
      <c r="F121" s="6"/>
      <c r="G121" s="6"/>
    </row>
    <row r="122" spans="3:7" x14ac:dyDescent="0.25">
      <c r="C122" s="6"/>
      <c r="D122" s="6"/>
      <c r="E122" s="6"/>
      <c r="F122" s="6"/>
      <c r="G122" s="6"/>
    </row>
    <row r="123" spans="3:7" x14ac:dyDescent="0.25">
      <c r="C123" s="6"/>
      <c r="D123" s="6"/>
      <c r="E123" s="6"/>
      <c r="F123" s="6"/>
      <c r="G123" s="6"/>
    </row>
    <row r="124" spans="3:7" x14ac:dyDescent="0.25">
      <c r="C124" s="6"/>
      <c r="D124" s="6"/>
      <c r="E124" s="6"/>
      <c r="F124" s="6"/>
      <c r="G124" s="6"/>
    </row>
    <row r="125" spans="3:7" x14ac:dyDescent="0.25">
      <c r="C125" s="6"/>
      <c r="D125" s="6"/>
      <c r="E125" s="6"/>
      <c r="F125" s="6"/>
      <c r="G125" s="6"/>
    </row>
    <row r="126" spans="3:7" x14ac:dyDescent="0.25">
      <c r="C126" s="6"/>
      <c r="D126" s="6"/>
      <c r="E126" s="6"/>
      <c r="F126" s="6"/>
      <c r="G126" s="6"/>
    </row>
    <row r="127" spans="3:7" x14ac:dyDescent="0.25">
      <c r="C127" s="6"/>
      <c r="D127" s="6"/>
      <c r="E127" s="6"/>
      <c r="F127" s="6"/>
      <c r="G127" s="6"/>
    </row>
    <row r="128" spans="3:7" x14ac:dyDescent="0.25">
      <c r="C128" s="6"/>
      <c r="D128" s="6"/>
      <c r="E128" s="6"/>
      <c r="F128" s="6"/>
      <c r="G128" s="6"/>
    </row>
    <row r="129" spans="3:7" x14ac:dyDescent="0.25">
      <c r="C129" s="6"/>
      <c r="D129" s="6"/>
      <c r="E129" s="6"/>
      <c r="F129" s="6"/>
      <c r="G129" s="6"/>
    </row>
    <row r="130" spans="3:7" x14ac:dyDescent="0.25">
      <c r="C130" s="6"/>
      <c r="D130" s="6"/>
      <c r="E130" s="6"/>
      <c r="F130" s="6"/>
      <c r="G130" s="6"/>
    </row>
    <row r="131" spans="3:7" x14ac:dyDescent="0.25">
      <c r="C131" s="6"/>
      <c r="D131" s="6"/>
      <c r="E131" s="6"/>
      <c r="F131" s="6"/>
      <c r="G131" s="6"/>
    </row>
    <row r="132" spans="3:7" x14ac:dyDescent="0.25">
      <c r="C132" s="6"/>
      <c r="D132" s="6"/>
      <c r="E132" s="6"/>
      <c r="F132" s="6"/>
      <c r="G132" s="6"/>
    </row>
    <row r="133" spans="3:7" x14ac:dyDescent="0.25">
      <c r="C133" s="6"/>
      <c r="D133" s="6"/>
      <c r="E133" s="6"/>
      <c r="F133" s="6"/>
      <c r="G133" s="6"/>
    </row>
    <row r="134" spans="3:7" x14ac:dyDescent="0.25">
      <c r="C134" s="6"/>
      <c r="D134" s="6"/>
      <c r="E134" s="6"/>
      <c r="F134" s="6"/>
      <c r="G134" s="6"/>
    </row>
    <row r="135" spans="3:7" x14ac:dyDescent="0.25">
      <c r="C135" s="6"/>
      <c r="D135" s="6"/>
      <c r="E135" s="6"/>
      <c r="F135" s="6"/>
      <c r="G135" s="6"/>
    </row>
    <row r="136" spans="3:7" x14ac:dyDescent="0.25">
      <c r="C136" s="6"/>
      <c r="D136" s="6"/>
      <c r="E136" s="6"/>
      <c r="F136" s="6"/>
      <c r="G136" s="6"/>
    </row>
    <row r="137" spans="3:7" x14ac:dyDescent="0.25">
      <c r="C137" s="6"/>
      <c r="D137" s="6"/>
      <c r="E137" s="6"/>
      <c r="F137" s="6"/>
      <c r="G137" s="6"/>
    </row>
    <row r="138" spans="3:7" x14ac:dyDescent="0.25">
      <c r="C138" s="6"/>
      <c r="D138" s="6"/>
      <c r="E138" s="6"/>
      <c r="F138" s="6"/>
      <c r="G138" s="6"/>
    </row>
    <row r="139" spans="3:7" x14ac:dyDescent="0.25">
      <c r="C139" s="6"/>
      <c r="D139" s="6"/>
      <c r="E139" s="6"/>
      <c r="F139" s="6"/>
      <c r="G139" s="6"/>
    </row>
    <row r="140" spans="3:7" x14ac:dyDescent="0.25">
      <c r="C140" s="6"/>
      <c r="D140" s="6"/>
      <c r="E140" s="6"/>
      <c r="F140" s="6"/>
      <c r="G140" s="6"/>
    </row>
    <row r="141" spans="3:7" x14ac:dyDescent="0.25">
      <c r="C141" s="6"/>
      <c r="D141" s="6"/>
      <c r="E141" s="6"/>
      <c r="F141" s="6"/>
      <c r="G141" s="6"/>
    </row>
    <row r="142" spans="3:7" x14ac:dyDescent="0.25">
      <c r="C142" s="6"/>
      <c r="D142" s="6"/>
      <c r="E142" s="6"/>
      <c r="F142" s="6"/>
      <c r="G142" s="6"/>
    </row>
    <row r="143" spans="3:7" x14ac:dyDescent="0.25">
      <c r="C143" s="6"/>
      <c r="D143" s="6"/>
      <c r="E143" s="6"/>
      <c r="F143" s="6"/>
      <c r="G143" s="6"/>
    </row>
    <row r="144" spans="3:7" x14ac:dyDescent="0.25">
      <c r="C144" s="6"/>
      <c r="D144" s="6"/>
      <c r="E144" s="6"/>
      <c r="F144" s="6"/>
      <c r="G144" s="6"/>
    </row>
    <row r="145" spans="3:7" x14ac:dyDescent="0.25">
      <c r="C145" s="6"/>
      <c r="D145" s="6"/>
      <c r="E145" s="6"/>
      <c r="F145" s="6"/>
      <c r="G145" s="6"/>
    </row>
    <row r="146" spans="3:7" x14ac:dyDescent="0.25">
      <c r="C146" s="6"/>
      <c r="D146" s="6"/>
      <c r="E146" s="6"/>
      <c r="F146" s="6"/>
      <c r="G146" s="6"/>
    </row>
    <row r="147" spans="3:7" x14ac:dyDescent="0.25">
      <c r="C147" s="6"/>
      <c r="D147" s="6"/>
      <c r="E147" s="6"/>
      <c r="F147" s="6"/>
      <c r="G147" s="6"/>
    </row>
    <row r="148" spans="3:7" x14ac:dyDescent="0.25">
      <c r="C148" s="6"/>
      <c r="D148" s="6"/>
      <c r="E148" s="6"/>
      <c r="F148" s="6"/>
      <c r="G148" s="6"/>
    </row>
    <row r="149" spans="3:7" x14ac:dyDescent="0.25">
      <c r="C149" s="6"/>
      <c r="D149" s="6"/>
      <c r="E149" s="6"/>
      <c r="F149" s="6"/>
      <c r="G149" s="6"/>
    </row>
    <row r="150" spans="3:7" x14ac:dyDescent="0.25">
      <c r="C150" s="6"/>
      <c r="D150" s="6"/>
      <c r="E150" s="6"/>
      <c r="F150" s="6"/>
      <c r="G150" s="6"/>
    </row>
    <row r="151" spans="3:7" x14ac:dyDescent="0.25">
      <c r="C151" s="6"/>
      <c r="D151" s="6"/>
      <c r="E151" s="6"/>
      <c r="F151" s="6"/>
      <c r="G151" s="6"/>
    </row>
    <row r="152" spans="3:7" x14ac:dyDescent="0.25">
      <c r="C152" s="6"/>
      <c r="D152" s="6"/>
      <c r="E152" s="6"/>
      <c r="F152" s="6"/>
      <c r="G152" s="6"/>
    </row>
    <row r="153" spans="3:7" x14ac:dyDescent="0.25">
      <c r="C153" s="6"/>
      <c r="D153" s="6"/>
      <c r="E153" s="6"/>
      <c r="F153" s="6"/>
      <c r="G153" s="6"/>
    </row>
    <row r="154" spans="3:7" x14ac:dyDescent="0.25">
      <c r="C154" s="6"/>
      <c r="D154" s="6"/>
      <c r="E154" s="6"/>
      <c r="F154" s="6"/>
      <c r="G154" s="6"/>
    </row>
    <row r="155" spans="3:7" x14ac:dyDescent="0.25">
      <c r="C155" s="6"/>
      <c r="D155" s="6"/>
      <c r="E155" s="6"/>
      <c r="F155" s="6"/>
      <c r="G155" s="6"/>
    </row>
    <row r="156" spans="3:7" x14ac:dyDescent="0.25">
      <c r="C156" s="6"/>
      <c r="D156" s="6"/>
      <c r="E156" s="6"/>
      <c r="F156" s="6"/>
      <c r="G156" s="6"/>
    </row>
    <row r="157" spans="3:7" x14ac:dyDescent="0.25">
      <c r="C157" s="6"/>
      <c r="D157" s="6"/>
      <c r="E157" s="6"/>
      <c r="F157" s="6"/>
      <c r="G157" s="6"/>
    </row>
    <row r="158" spans="3:7" x14ac:dyDescent="0.25">
      <c r="C158" s="6"/>
      <c r="D158" s="6"/>
      <c r="E158" s="6"/>
      <c r="F158" s="6"/>
      <c r="G158" s="6"/>
    </row>
    <row r="159" spans="3:7" x14ac:dyDescent="0.25">
      <c r="C159" s="6"/>
      <c r="D159" s="6"/>
      <c r="E159" s="6"/>
      <c r="F159" s="6"/>
      <c r="G159" s="6"/>
    </row>
    <row r="160" spans="3:7" x14ac:dyDescent="0.25">
      <c r="C160" s="6"/>
      <c r="D160" s="6"/>
      <c r="E160" s="6"/>
      <c r="F160" s="6"/>
      <c r="G160" s="6"/>
    </row>
    <row r="161" spans="3:7" x14ac:dyDescent="0.25">
      <c r="C161" s="6"/>
      <c r="D161" s="6"/>
      <c r="E161" s="6"/>
      <c r="F161" s="6"/>
      <c r="G161" s="6"/>
    </row>
    <row r="162" spans="3:7" x14ac:dyDescent="0.25">
      <c r="C162" s="6"/>
      <c r="D162" s="6"/>
      <c r="E162" s="6"/>
      <c r="F162" s="6"/>
      <c r="G162" s="6"/>
    </row>
    <row r="163" spans="3:7" x14ac:dyDescent="0.25">
      <c r="C163" s="6"/>
      <c r="D163" s="6"/>
      <c r="E163" s="6"/>
      <c r="F163" s="6"/>
      <c r="G163" s="6"/>
    </row>
    <row r="164" spans="3:7" x14ac:dyDescent="0.25">
      <c r="C164" s="6"/>
      <c r="D164" s="6"/>
      <c r="E164" s="6"/>
      <c r="F164" s="6"/>
      <c r="G164" s="6"/>
    </row>
    <row r="165" spans="3:7" x14ac:dyDescent="0.25">
      <c r="C165" s="6"/>
      <c r="D165" s="6"/>
      <c r="E165" s="6"/>
      <c r="F165" s="6"/>
      <c r="G165" s="6"/>
    </row>
    <row r="166" spans="3:7" x14ac:dyDescent="0.25">
      <c r="C166" s="6"/>
      <c r="D166" s="6"/>
      <c r="E166" s="6"/>
      <c r="F166" s="6"/>
      <c r="G166" s="6"/>
    </row>
    <row r="167" spans="3:7" x14ac:dyDescent="0.25">
      <c r="C167" s="6"/>
      <c r="D167" s="6"/>
      <c r="E167" s="6"/>
      <c r="F167" s="6"/>
      <c r="G167" s="6"/>
    </row>
    <row r="168" spans="3:7" x14ac:dyDescent="0.25">
      <c r="C168" s="6"/>
      <c r="D168" s="6"/>
      <c r="E168" s="6"/>
      <c r="F168" s="6"/>
      <c r="G168" s="6"/>
    </row>
    <row r="169" spans="3:7" x14ac:dyDescent="0.25">
      <c r="C169" s="6"/>
      <c r="D169" s="6"/>
      <c r="E169" s="6"/>
      <c r="F169" s="6"/>
      <c r="G169" s="6"/>
    </row>
    <row r="170" spans="3:7" x14ac:dyDescent="0.25">
      <c r="C170" s="6"/>
      <c r="D170" s="6"/>
      <c r="E170" s="6"/>
      <c r="F170" s="6"/>
      <c r="G170" s="6"/>
    </row>
    <row r="171" spans="3:7" x14ac:dyDescent="0.25">
      <c r="C171" s="6"/>
      <c r="D171" s="6"/>
      <c r="E171" s="6"/>
      <c r="F171" s="6"/>
      <c r="G171" s="6"/>
    </row>
    <row r="172" spans="3:7" x14ac:dyDescent="0.25">
      <c r="C172" s="6"/>
      <c r="D172" s="6"/>
      <c r="E172" s="6"/>
      <c r="F172" s="6"/>
      <c r="G172" s="6"/>
    </row>
    <row r="173" spans="3:7" x14ac:dyDescent="0.25">
      <c r="C173" s="6"/>
      <c r="D173" s="6"/>
      <c r="E173" s="6"/>
      <c r="F173" s="6"/>
      <c r="G173" s="6"/>
    </row>
    <row r="174" spans="3:7" x14ac:dyDescent="0.25">
      <c r="C174" s="6"/>
      <c r="D174" s="6"/>
      <c r="E174" s="6"/>
      <c r="F174" s="6"/>
      <c r="G174" s="6"/>
    </row>
    <row r="175" spans="3:7" x14ac:dyDescent="0.25">
      <c r="C175" s="6"/>
      <c r="D175" s="6"/>
      <c r="E175" s="6"/>
      <c r="F175" s="6"/>
      <c r="G175" s="6"/>
    </row>
    <row r="176" spans="3:7" x14ac:dyDescent="0.25">
      <c r="C176" s="6"/>
      <c r="D176" s="6"/>
      <c r="E176" s="6"/>
      <c r="F176" s="6"/>
      <c r="G176" s="6"/>
    </row>
    <row r="177" spans="3:7" x14ac:dyDescent="0.25">
      <c r="C177" s="6"/>
      <c r="D177" s="6"/>
      <c r="E177" s="6"/>
      <c r="F177" s="6"/>
      <c r="G177" s="6"/>
    </row>
    <row r="178" spans="3:7" x14ac:dyDescent="0.25">
      <c r="C178" s="6"/>
      <c r="D178" s="6"/>
      <c r="E178" s="6"/>
      <c r="F178" s="6"/>
      <c r="G178" s="6"/>
    </row>
    <row r="179" spans="3:7" x14ac:dyDescent="0.25">
      <c r="C179" s="6"/>
      <c r="D179" s="6"/>
      <c r="E179" s="6"/>
      <c r="F179" s="6"/>
      <c r="G179" s="6"/>
    </row>
    <row r="180" spans="3:7" x14ac:dyDescent="0.25">
      <c r="C180" s="6"/>
      <c r="D180" s="6"/>
      <c r="E180" s="6"/>
      <c r="F180" s="6"/>
      <c r="G180" s="6"/>
    </row>
    <row r="181" spans="3:7" x14ac:dyDescent="0.25">
      <c r="C181" s="6"/>
      <c r="D181" s="6"/>
      <c r="E181" s="6"/>
      <c r="F181" s="6"/>
      <c r="G181" s="6"/>
    </row>
    <row r="182" spans="3:7" x14ac:dyDescent="0.25">
      <c r="C182" s="6"/>
      <c r="D182" s="6"/>
      <c r="E182" s="6"/>
      <c r="F182" s="6"/>
      <c r="G182" s="6"/>
    </row>
    <row r="183" spans="3:7" x14ac:dyDescent="0.25">
      <c r="C183" s="6"/>
      <c r="D183" s="6"/>
      <c r="E183" s="6"/>
      <c r="F183" s="6"/>
      <c r="G183" s="6"/>
    </row>
    <row r="184" spans="3:7" x14ac:dyDescent="0.25">
      <c r="C184" s="6"/>
      <c r="D184" s="6"/>
      <c r="E184" s="6"/>
      <c r="F184" s="6"/>
      <c r="G184" s="6"/>
    </row>
    <row r="185" spans="3:7" x14ac:dyDescent="0.25">
      <c r="C185" s="6"/>
      <c r="D185" s="6"/>
      <c r="E185" s="6"/>
      <c r="F185" s="6"/>
      <c r="G185" s="6"/>
    </row>
    <row r="186" spans="3:7" x14ac:dyDescent="0.25">
      <c r="C186" s="6"/>
      <c r="D186" s="6"/>
      <c r="E186" s="6"/>
      <c r="F186" s="6"/>
      <c r="G186" s="6"/>
    </row>
    <row r="187" spans="3:7" x14ac:dyDescent="0.25">
      <c r="C187" s="6"/>
      <c r="D187" s="6"/>
      <c r="E187" s="6"/>
      <c r="F187" s="6"/>
      <c r="G187" s="6"/>
    </row>
    <row r="188" spans="3:7" x14ac:dyDescent="0.25">
      <c r="C188" s="6"/>
      <c r="D188" s="6"/>
      <c r="E188" s="6"/>
      <c r="F188" s="6"/>
      <c r="G188" s="6"/>
    </row>
    <row r="189" spans="3:7" x14ac:dyDescent="0.25">
      <c r="C189" s="6"/>
      <c r="D189" s="6"/>
      <c r="E189" s="6"/>
      <c r="F189" s="6"/>
      <c r="G189" s="6"/>
    </row>
    <row r="190" spans="3:7" x14ac:dyDescent="0.25">
      <c r="C190" s="6"/>
      <c r="D190" s="6"/>
      <c r="E190" s="6"/>
      <c r="F190" s="6"/>
      <c r="G190" s="6"/>
    </row>
    <row r="191" spans="3:7" x14ac:dyDescent="0.25">
      <c r="C191" s="6"/>
      <c r="D191" s="6"/>
      <c r="E191" s="6"/>
      <c r="F191" s="6"/>
      <c r="G191" s="6"/>
    </row>
    <row r="192" spans="3:7" x14ac:dyDescent="0.25">
      <c r="C192" s="6"/>
      <c r="D192" s="6"/>
      <c r="E192" s="6"/>
      <c r="F192" s="6"/>
      <c r="G192" s="6"/>
    </row>
    <row r="193" spans="3:7" x14ac:dyDescent="0.25">
      <c r="C193" s="6"/>
      <c r="D193" s="6"/>
      <c r="E193" s="6"/>
      <c r="F193" s="6"/>
      <c r="G193" s="6"/>
    </row>
    <row r="194" spans="3:7" x14ac:dyDescent="0.25">
      <c r="C194" s="6"/>
      <c r="D194" s="6"/>
      <c r="E194" s="6"/>
      <c r="F194" s="6"/>
      <c r="G194" s="6"/>
    </row>
    <row r="195" spans="3:7" x14ac:dyDescent="0.25">
      <c r="C195" s="6"/>
      <c r="D195" s="6"/>
      <c r="E195" s="6"/>
      <c r="F195" s="6"/>
      <c r="G195" s="6"/>
    </row>
    <row r="196" spans="3:7" x14ac:dyDescent="0.25">
      <c r="C196" s="6"/>
      <c r="D196" s="6"/>
      <c r="E196" s="6"/>
      <c r="F196" s="6"/>
      <c r="G196" s="6"/>
    </row>
    <row r="197" spans="3:7" x14ac:dyDescent="0.25">
      <c r="C197" s="6"/>
      <c r="D197" s="6"/>
      <c r="E197" s="6"/>
      <c r="F197" s="6"/>
      <c r="G197" s="6"/>
    </row>
    <row r="198" spans="3:7" x14ac:dyDescent="0.25">
      <c r="C198" s="6"/>
      <c r="D198" s="6"/>
      <c r="E198" s="6"/>
      <c r="F198" s="6"/>
      <c r="G198" s="6"/>
    </row>
    <row r="199" spans="3:7" x14ac:dyDescent="0.25">
      <c r="C199" s="6"/>
      <c r="D199" s="6"/>
      <c r="E199" s="6"/>
      <c r="F199" s="6"/>
      <c r="G199" s="6"/>
    </row>
    <row r="200" spans="3:7" x14ac:dyDescent="0.25">
      <c r="C200" s="6"/>
      <c r="D200" s="6"/>
      <c r="E200" s="6"/>
      <c r="F200" s="6"/>
      <c r="G200" s="6"/>
    </row>
    <row r="201" spans="3:7" x14ac:dyDescent="0.25">
      <c r="C201" s="6"/>
      <c r="D201" s="6"/>
      <c r="E201" s="6"/>
      <c r="F201" s="6"/>
      <c r="G201" s="6"/>
    </row>
    <row r="202" spans="3:7" x14ac:dyDescent="0.25">
      <c r="C202" s="6"/>
      <c r="D202" s="6"/>
      <c r="E202" s="6"/>
      <c r="F202" s="6"/>
      <c r="G202" s="6"/>
    </row>
    <row r="203" spans="3:7" x14ac:dyDescent="0.25">
      <c r="C203" s="6"/>
      <c r="D203" s="6"/>
      <c r="E203" s="6"/>
      <c r="F203" s="6"/>
      <c r="G203" s="6"/>
    </row>
    <row r="204" spans="3:7" x14ac:dyDescent="0.25">
      <c r="C204" s="6"/>
      <c r="D204" s="6"/>
      <c r="E204" s="6"/>
      <c r="F204" s="6"/>
      <c r="G204" s="6"/>
    </row>
    <row r="205" spans="3:7" x14ac:dyDescent="0.25">
      <c r="C205" s="6"/>
      <c r="D205" s="6"/>
      <c r="E205" s="6"/>
      <c r="F205" s="6"/>
      <c r="G205" s="6"/>
    </row>
    <row r="206" spans="3:7" x14ac:dyDescent="0.25">
      <c r="C206" s="6"/>
      <c r="D206" s="6"/>
      <c r="E206" s="6"/>
      <c r="F206" s="6"/>
      <c r="G206" s="6"/>
    </row>
    <row r="207" spans="3:7" x14ac:dyDescent="0.25">
      <c r="C207" s="6"/>
      <c r="D207" s="6"/>
      <c r="E207" s="6"/>
      <c r="F207" s="6"/>
      <c r="G207" s="6"/>
    </row>
    <row r="208" spans="3:7" x14ac:dyDescent="0.25">
      <c r="C208" s="6"/>
      <c r="D208" s="6"/>
      <c r="E208" s="6"/>
      <c r="F208" s="6"/>
      <c r="G208" s="6"/>
    </row>
    <row r="209" spans="3:7" x14ac:dyDescent="0.25">
      <c r="C209" s="6"/>
      <c r="D209" s="6"/>
      <c r="E209" s="6"/>
      <c r="F209" s="6"/>
      <c r="G209" s="6"/>
    </row>
    <row r="210" spans="3:7" x14ac:dyDescent="0.25">
      <c r="C210" s="6"/>
      <c r="D210" s="6"/>
      <c r="E210" s="6"/>
      <c r="F210" s="6"/>
      <c r="G210" s="6"/>
    </row>
    <row r="211" spans="3:7" x14ac:dyDescent="0.25">
      <c r="C211" s="6"/>
      <c r="D211" s="6"/>
      <c r="E211" s="6"/>
      <c r="F211" s="6"/>
      <c r="G211" s="6"/>
    </row>
    <row r="212" spans="3:7" x14ac:dyDescent="0.25">
      <c r="C212" s="6"/>
      <c r="D212" s="6"/>
      <c r="E212" s="6"/>
      <c r="F212" s="6"/>
      <c r="G212" s="6"/>
    </row>
    <row r="213" spans="3:7" x14ac:dyDescent="0.25">
      <c r="C213" s="6"/>
      <c r="D213" s="6"/>
      <c r="E213" s="6"/>
      <c r="F213" s="6"/>
      <c r="G213" s="6"/>
    </row>
    <row r="214" spans="3:7" x14ac:dyDescent="0.25">
      <c r="C214" s="6"/>
      <c r="D214" s="6"/>
      <c r="E214" s="6"/>
      <c r="F214" s="6"/>
      <c r="G214" s="6"/>
    </row>
    <row r="215" spans="3:7" x14ac:dyDescent="0.25">
      <c r="C215" s="6"/>
      <c r="D215" s="6"/>
      <c r="E215" s="6"/>
      <c r="F215" s="6"/>
      <c r="G215" s="6"/>
    </row>
    <row r="216" spans="3:7" x14ac:dyDescent="0.25">
      <c r="C216" s="6"/>
      <c r="D216" s="6"/>
      <c r="E216" s="6"/>
      <c r="F216" s="6"/>
      <c r="G216" s="6"/>
    </row>
    <row r="217" spans="3:7" x14ac:dyDescent="0.25">
      <c r="C217" s="6"/>
      <c r="D217" s="6"/>
      <c r="E217" s="6"/>
      <c r="F217" s="6"/>
      <c r="G217" s="6"/>
    </row>
    <row r="218" spans="3:7" x14ac:dyDescent="0.25">
      <c r="C218" s="6"/>
      <c r="D218" s="6"/>
      <c r="E218" s="6"/>
      <c r="F218" s="6"/>
      <c r="G218" s="6"/>
    </row>
    <row r="219" spans="3:7" x14ac:dyDescent="0.25">
      <c r="C219" s="6"/>
      <c r="D219" s="6"/>
      <c r="E219" s="6"/>
      <c r="F219" s="6"/>
      <c r="G219" s="6"/>
    </row>
    <row r="220" spans="3:7" x14ac:dyDescent="0.25">
      <c r="C220" s="6"/>
      <c r="D220" s="6"/>
      <c r="E220" s="6"/>
      <c r="F220" s="6"/>
      <c r="G220" s="6"/>
    </row>
    <row r="221" spans="3:7" x14ac:dyDescent="0.25">
      <c r="C221" s="6"/>
      <c r="D221" s="6"/>
      <c r="E221" s="6"/>
      <c r="F221" s="6"/>
      <c r="G221" s="6"/>
    </row>
    <row r="222" spans="3:7" x14ac:dyDescent="0.25">
      <c r="C222" s="6"/>
      <c r="D222" s="6"/>
      <c r="E222" s="6"/>
      <c r="F222" s="6"/>
      <c r="G222" s="6"/>
    </row>
    <row r="223" spans="3:7" x14ac:dyDescent="0.25">
      <c r="C223" s="6"/>
      <c r="D223" s="6"/>
      <c r="E223" s="6"/>
      <c r="F223" s="6"/>
      <c r="G223" s="6"/>
    </row>
    <row r="224" spans="3:7" x14ac:dyDescent="0.25">
      <c r="C224" s="6"/>
      <c r="D224" s="6"/>
      <c r="E224" s="6"/>
      <c r="F224" s="6"/>
      <c r="G224" s="6"/>
    </row>
    <row r="225" spans="3:7" x14ac:dyDescent="0.25">
      <c r="C225" s="6"/>
      <c r="D225" s="6"/>
      <c r="E225" s="6"/>
      <c r="F225" s="6"/>
      <c r="G225" s="6"/>
    </row>
    <row r="226" spans="3:7" x14ac:dyDescent="0.25">
      <c r="C226" s="6"/>
      <c r="D226" s="6"/>
      <c r="E226" s="6"/>
      <c r="F226" s="6"/>
      <c r="G226" s="6"/>
    </row>
    <row r="227" spans="3:7" x14ac:dyDescent="0.25">
      <c r="C227" s="6"/>
      <c r="D227" s="6"/>
      <c r="E227" s="6"/>
      <c r="F227" s="6"/>
      <c r="G227" s="6"/>
    </row>
    <row r="228" spans="3:7" x14ac:dyDescent="0.25">
      <c r="C228" s="6"/>
      <c r="D228" s="6"/>
      <c r="E228" s="6"/>
      <c r="F228" s="6"/>
      <c r="G228" s="6"/>
    </row>
    <row r="229" spans="3:7" x14ac:dyDescent="0.25">
      <c r="C229" s="6"/>
      <c r="D229" s="6"/>
      <c r="E229" s="6"/>
      <c r="F229" s="6"/>
      <c r="G229" s="6"/>
    </row>
    <row r="230" spans="3:7" x14ac:dyDescent="0.25">
      <c r="C230" s="6"/>
      <c r="D230" s="6"/>
      <c r="E230" s="6"/>
      <c r="F230" s="6"/>
      <c r="G230" s="6"/>
    </row>
    <row r="231" spans="3:7" x14ac:dyDescent="0.25">
      <c r="C231" s="6"/>
      <c r="D231" s="6"/>
      <c r="E231" s="6"/>
      <c r="F231" s="6"/>
      <c r="G231" s="6"/>
    </row>
    <row r="232" spans="3:7" x14ac:dyDescent="0.25">
      <c r="C232" s="6"/>
      <c r="D232" s="6"/>
      <c r="E232" s="6"/>
      <c r="F232" s="6"/>
      <c r="G232" s="6"/>
    </row>
    <row r="233" spans="3:7" x14ac:dyDescent="0.25">
      <c r="C233" s="6"/>
      <c r="D233" s="6"/>
      <c r="E233" s="6"/>
      <c r="F233" s="6"/>
      <c r="G233" s="6"/>
    </row>
    <row r="234" spans="3:7" x14ac:dyDescent="0.25">
      <c r="C234" s="6"/>
      <c r="D234" s="6"/>
      <c r="E234" s="6"/>
      <c r="F234" s="6"/>
      <c r="G234" s="6"/>
    </row>
    <row r="235" spans="3:7" x14ac:dyDescent="0.25">
      <c r="C235" s="6"/>
      <c r="D235" s="6"/>
      <c r="E235" s="6"/>
      <c r="F235" s="6"/>
      <c r="G235" s="6"/>
    </row>
    <row r="236" spans="3:7" x14ac:dyDescent="0.25">
      <c r="C236" s="6"/>
      <c r="D236" s="6"/>
      <c r="E236" s="6"/>
      <c r="F236" s="6"/>
      <c r="G236" s="6"/>
    </row>
    <row r="237" spans="3:7" x14ac:dyDescent="0.25">
      <c r="C237" s="6"/>
      <c r="D237" s="6"/>
      <c r="E237" s="6"/>
      <c r="F237" s="6"/>
      <c r="G237" s="6"/>
    </row>
    <row r="238" spans="3:7" x14ac:dyDescent="0.25">
      <c r="C238" s="6"/>
      <c r="D238" s="6"/>
      <c r="E238" s="6"/>
      <c r="F238" s="6"/>
      <c r="G238" s="6"/>
    </row>
    <row r="239" spans="3:7" x14ac:dyDescent="0.25">
      <c r="C239" s="6"/>
      <c r="D239" s="6"/>
      <c r="E239" s="6"/>
      <c r="F239" s="6"/>
      <c r="G239" s="6"/>
    </row>
    <row r="240" spans="3:7" x14ac:dyDescent="0.25">
      <c r="C240" s="6"/>
      <c r="D240" s="6"/>
      <c r="E240" s="6"/>
      <c r="F240" s="6"/>
      <c r="G240" s="6"/>
    </row>
    <row r="241" spans="3:7" x14ac:dyDescent="0.25">
      <c r="C241" s="6"/>
      <c r="D241" s="6"/>
      <c r="E241" s="6"/>
      <c r="F241" s="6"/>
      <c r="G241" s="6"/>
    </row>
    <row r="242" spans="3:7" x14ac:dyDescent="0.25">
      <c r="C242" s="6"/>
      <c r="D242" s="6"/>
      <c r="E242" s="6"/>
      <c r="F242" s="6"/>
      <c r="G242" s="6"/>
    </row>
    <row r="243" spans="3:7" x14ac:dyDescent="0.25">
      <c r="C243" s="6"/>
      <c r="D243" s="6"/>
      <c r="E243" s="6"/>
      <c r="F243" s="6"/>
      <c r="G243" s="6"/>
    </row>
    <row r="244" spans="3:7" x14ac:dyDescent="0.25">
      <c r="C244" s="6"/>
      <c r="D244" s="6"/>
      <c r="E244" s="6"/>
      <c r="F244" s="6"/>
      <c r="G244" s="6"/>
    </row>
    <row r="245" spans="3:7" x14ac:dyDescent="0.25">
      <c r="C245" s="6"/>
      <c r="D245" s="6"/>
      <c r="E245" s="6"/>
      <c r="F245" s="6"/>
      <c r="G245" s="6"/>
    </row>
    <row r="246" spans="3:7" x14ac:dyDescent="0.25">
      <c r="C246" s="6"/>
      <c r="D246" s="6"/>
      <c r="E246" s="6"/>
      <c r="F246" s="6"/>
      <c r="G246" s="6"/>
    </row>
    <row r="247" spans="3:7" x14ac:dyDescent="0.25">
      <c r="C247" s="6"/>
      <c r="D247" s="6"/>
      <c r="E247" s="6"/>
      <c r="F247" s="6"/>
      <c r="G247" s="6"/>
    </row>
    <row r="248" spans="3:7" x14ac:dyDescent="0.25">
      <c r="C248" s="6"/>
      <c r="D248" s="6"/>
      <c r="E248" s="6"/>
      <c r="F248" s="6"/>
      <c r="G248" s="6"/>
    </row>
    <row r="249" spans="3:7" x14ac:dyDescent="0.25">
      <c r="C249" s="6"/>
      <c r="D249" s="6"/>
      <c r="E249" s="6"/>
      <c r="F249" s="6"/>
      <c r="G249" s="6"/>
    </row>
    <row r="250" spans="3:7" x14ac:dyDescent="0.25">
      <c r="C250" s="6"/>
      <c r="D250" s="6"/>
      <c r="E250" s="6"/>
      <c r="F250" s="6"/>
      <c r="G250" s="6"/>
    </row>
    <row r="251" spans="3:7" x14ac:dyDescent="0.25">
      <c r="C251" s="6"/>
      <c r="D251" s="6"/>
      <c r="E251" s="6"/>
      <c r="F251" s="6"/>
      <c r="G251" s="6"/>
    </row>
    <row r="252" spans="3:7" x14ac:dyDescent="0.25">
      <c r="C252" s="6"/>
      <c r="D252" s="6"/>
      <c r="E252" s="6"/>
      <c r="F252" s="6"/>
      <c r="G252" s="6"/>
    </row>
    <row r="253" spans="3:7" x14ac:dyDescent="0.25">
      <c r="C253" s="6"/>
      <c r="D253" s="6"/>
      <c r="E253" s="6"/>
      <c r="F253" s="6"/>
      <c r="G253" s="6"/>
    </row>
    <row r="254" spans="3:7" x14ac:dyDescent="0.25">
      <c r="C254" s="6"/>
      <c r="D254" s="6"/>
      <c r="E254" s="6"/>
      <c r="F254" s="6"/>
      <c r="G254" s="6"/>
    </row>
    <row r="255" spans="3:7" x14ac:dyDescent="0.25">
      <c r="C255" s="6"/>
      <c r="D255" s="6"/>
      <c r="E255" s="6"/>
      <c r="F255" s="6"/>
      <c r="G255" s="6"/>
    </row>
    <row r="256" spans="3:7" x14ac:dyDescent="0.25">
      <c r="C256" s="6"/>
      <c r="D256" s="6"/>
      <c r="E256" s="6"/>
      <c r="F256" s="6"/>
      <c r="G256" s="6"/>
    </row>
    <row r="257" spans="3:7" x14ac:dyDescent="0.25">
      <c r="C257" s="6"/>
      <c r="D257" s="6"/>
      <c r="E257" s="6"/>
      <c r="F257" s="6"/>
      <c r="G257" s="6"/>
    </row>
    <row r="258" spans="3:7" x14ac:dyDescent="0.25">
      <c r="C258" s="6"/>
      <c r="D258" s="6"/>
      <c r="E258" s="6"/>
      <c r="F258" s="6"/>
      <c r="G258" s="6"/>
    </row>
    <row r="259" spans="3:7" x14ac:dyDescent="0.25">
      <c r="C259" s="6"/>
      <c r="D259" s="6"/>
      <c r="E259" s="6"/>
      <c r="F259" s="6"/>
      <c r="G259" s="6"/>
    </row>
    <row r="260" spans="3:7" x14ac:dyDescent="0.25">
      <c r="C260" s="6"/>
      <c r="D260" s="6"/>
      <c r="E260" s="6"/>
      <c r="F260" s="6"/>
      <c r="G260" s="6"/>
    </row>
    <row r="261" spans="3:7" x14ac:dyDescent="0.25">
      <c r="C261" s="6"/>
      <c r="D261" s="6"/>
      <c r="E261" s="6"/>
      <c r="F261" s="6"/>
      <c r="G261" s="6"/>
    </row>
    <row r="262" spans="3:7" x14ac:dyDescent="0.25">
      <c r="C262" s="6"/>
      <c r="D262" s="6"/>
      <c r="E262" s="6"/>
      <c r="F262" s="6"/>
      <c r="G262" s="6"/>
    </row>
    <row r="263" spans="3:7" x14ac:dyDescent="0.25">
      <c r="C263" s="6"/>
      <c r="D263" s="6"/>
      <c r="E263" s="6"/>
      <c r="F263" s="6"/>
      <c r="G263" s="6"/>
    </row>
    <row r="264" spans="3:7" x14ac:dyDescent="0.25">
      <c r="C264" s="6"/>
      <c r="D264" s="6"/>
      <c r="E264" s="6"/>
      <c r="F264" s="6"/>
      <c r="G264" s="6"/>
    </row>
    <row r="265" spans="3:7" x14ac:dyDescent="0.25">
      <c r="C265" s="6"/>
      <c r="D265" s="6"/>
      <c r="E265" s="6"/>
      <c r="F265" s="6"/>
      <c r="G265" s="6"/>
    </row>
    <row r="266" spans="3:7" x14ac:dyDescent="0.25">
      <c r="C266" s="6"/>
      <c r="D266" s="6"/>
      <c r="E266" s="6"/>
      <c r="F266" s="6"/>
      <c r="G266" s="6"/>
    </row>
    <row r="267" spans="3:7" x14ac:dyDescent="0.25">
      <c r="C267" s="6"/>
      <c r="D267" s="6"/>
      <c r="E267" s="6"/>
      <c r="F267" s="6"/>
      <c r="G267" s="6"/>
    </row>
    <row r="268" spans="3:7" x14ac:dyDescent="0.25">
      <c r="C268" s="6"/>
      <c r="D268" s="6"/>
      <c r="E268" s="6"/>
      <c r="F268" s="6"/>
      <c r="G268" s="6"/>
    </row>
    <row r="269" spans="3:7" x14ac:dyDescent="0.25">
      <c r="C269" s="6"/>
      <c r="D269" s="6"/>
      <c r="E269" s="6"/>
      <c r="F269" s="6"/>
      <c r="G269" s="6"/>
    </row>
    <row r="270" spans="3:7" x14ac:dyDescent="0.25">
      <c r="C270" s="6"/>
      <c r="D270" s="6"/>
      <c r="E270" s="6"/>
      <c r="F270" s="6"/>
      <c r="G270" s="6"/>
    </row>
    <row r="271" spans="3:7" x14ac:dyDescent="0.25">
      <c r="C271" s="6"/>
      <c r="D271" s="6"/>
      <c r="E271" s="6"/>
      <c r="F271" s="6"/>
      <c r="G271" s="6"/>
    </row>
    <row r="272" spans="3:7" x14ac:dyDescent="0.25">
      <c r="C272" s="6"/>
      <c r="D272" s="6"/>
      <c r="E272" s="6"/>
      <c r="F272" s="6"/>
      <c r="G272" s="6"/>
    </row>
    <row r="273" spans="3:7" x14ac:dyDescent="0.25">
      <c r="C273" s="6"/>
      <c r="D273" s="6"/>
      <c r="E273" s="6"/>
      <c r="F273" s="6"/>
      <c r="G273" s="6"/>
    </row>
    <row r="274" spans="3:7" x14ac:dyDescent="0.25">
      <c r="C274" s="6"/>
      <c r="D274" s="6"/>
      <c r="E274" s="6"/>
      <c r="F274" s="6"/>
      <c r="G274" s="6"/>
    </row>
    <row r="275" spans="3:7" x14ac:dyDescent="0.25">
      <c r="C275" s="6"/>
      <c r="D275" s="6"/>
      <c r="E275" s="6"/>
      <c r="F275" s="6"/>
      <c r="G275" s="6"/>
    </row>
    <row r="276" spans="3:7" x14ac:dyDescent="0.25">
      <c r="C276" s="6"/>
      <c r="D276" s="6"/>
      <c r="E276" s="6"/>
      <c r="F276" s="6"/>
      <c r="G276" s="6"/>
    </row>
    <row r="277" spans="3:7" x14ac:dyDescent="0.25">
      <c r="C277" s="6"/>
      <c r="D277" s="6"/>
      <c r="E277" s="6"/>
      <c r="F277" s="6"/>
      <c r="G277" s="6"/>
    </row>
    <row r="278" spans="3:7" x14ac:dyDescent="0.25">
      <c r="C278" s="6"/>
      <c r="D278" s="6"/>
      <c r="E278" s="6"/>
      <c r="F278" s="6"/>
      <c r="G278" s="6"/>
    </row>
    <row r="279" spans="3:7" x14ac:dyDescent="0.25">
      <c r="C279" s="6"/>
      <c r="D279" s="6"/>
      <c r="E279" s="6"/>
      <c r="F279" s="6"/>
      <c r="G279" s="6"/>
    </row>
    <row r="280" spans="3:7" x14ac:dyDescent="0.25">
      <c r="C280" s="6"/>
      <c r="D280" s="6"/>
      <c r="E280" s="6"/>
      <c r="F280" s="6"/>
      <c r="G280" s="6"/>
    </row>
    <row r="281" spans="3:7" x14ac:dyDescent="0.25">
      <c r="C281" s="6"/>
      <c r="D281" s="6"/>
      <c r="E281" s="6"/>
      <c r="F281" s="6"/>
      <c r="G281" s="6"/>
    </row>
    <row r="282" spans="3:7" x14ac:dyDescent="0.25">
      <c r="C282" s="6"/>
      <c r="D282" s="6"/>
      <c r="E282" s="6"/>
      <c r="F282" s="6"/>
      <c r="G282" s="6"/>
    </row>
    <row r="283" spans="3:7" x14ac:dyDescent="0.25">
      <c r="C283" s="6"/>
      <c r="D283" s="6"/>
      <c r="E283" s="6"/>
      <c r="F283" s="6"/>
      <c r="G283" s="6"/>
    </row>
    <row r="284" spans="3:7" x14ac:dyDescent="0.25">
      <c r="C284" s="6"/>
      <c r="D284" s="6"/>
      <c r="E284" s="6"/>
      <c r="F284" s="6"/>
      <c r="G284" s="6"/>
    </row>
    <row r="285" spans="3:7" x14ac:dyDescent="0.25">
      <c r="C285" s="6"/>
      <c r="D285" s="6"/>
      <c r="E285" s="6"/>
      <c r="F285" s="6"/>
      <c r="G285" s="6"/>
    </row>
    <row r="286" spans="3:7" x14ac:dyDescent="0.25">
      <c r="C286" s="6"/>
      <c r="D286" s="6"/>
      <c r="E286" s="6"/>
      <c r="F286" s="6"/>
      <c r="G286" s="6"/>
    </row>
    <row r="287" spans="3:7" x14ac:dyDescent="0.25">
      <c r="C287" s="6"/>
      <c r="D287" s="6"/>
      <c r="E287" s="6"/>
      <c r="F287" s="6"/>
      <c r="G287" s="6"/>
    </row>
    <row r="288" spans="3:7" x14ac:dyDescent="0.25">
      <c r="C288" s="6"/>
      <c r="D288" s="6"/>
      <c r="E288" s="6"/>
      <c r="F288" s="6"/>
      <c r="G288" s="6"/>
    </row>
    <row r="289" spans="3:7" x14ac:dyDescent="0.25">
      <c r="C289" s="6"/>
      <c r="D289" s="6"/>
      <c r="E289" s="6"/>
      <c r="F289" s="6"/>
      <c r="G289" s="6"/>
    </row>
    <row r="290" spans="3:7" x14ac:dyDescent="0.25">
      <c r="C290" s="6"/>
      <c r="D290" s="6"/>
      <c r="E290" s="6"/>
      <c r="F290" s="6"/>
      <c r="G290" s="6"/>
    </row>
    <row r="291" spans="3:7" x14ac:dyDescent="0.25">
      <c r="C291" s="6"/>
      <c r="D291" s="6"/>
      <c r="E291" s="6"/>
      <c r="F291" s="6"/>
      <c r="G291" s="6"/>
    </row>
    <row r="292" spans="3:7" x14ac:dyDescent="0.25">
      <c r="C292" s="6"/>
      <c r="D292" s="6"/>
      <c r="E292" s="6"/>
      <c r="F292" s="6"/>
      <c r="G292" s="6"/>
    </row>
    <row r="293" spans="3:7" x14ac:dyDescent="0.25">
      <c r="C293" s="6"/>
      <c r="D293" s="6"/>
      <c r="E293" s="6"/>
      <c r="F293" s="6"/>
      <c r="G293" s="6"/>
    </row>
    <row r="294" spans="3:7" x14ac:dyDescent="0.25">
      <c r="C294" s="6"/>
      <c r="D294" s="6"/>
      <c r="E294" s="6"/>
      <c r="F294" s="6"/>
      <c r="G294" s="6"/>
    </row>
    <row r="295" spans="3:7" x14ac:dyDescent="0.25">
      <c r="C295" s="6"/>
      <c r="D295" s="6"/>
      <c r="E295" s="6"/>
      <c r="F295" s="6"/>
      <c r="G295" s="6"/>
    </row>
    <row r="296" spans="3:7" x14ac:dyDescent="0.25">
      <c r="C296" s="6"/>
      <c r="D296" s="6"/>
      <c r="E296" s="6"/>
      <c r="F296" s="6"/>
      <c r="G296" s="6"/>
    </row>
    <row r="297" spans="3:7" x14ac:dyDescent="0.25">
      <c r="C297" s="6"/>
      <c r="D297" s="6"/>
      <c r="E297" s="6"/>
      <c r="F297" s="6"/>
      <c r="G297" s="6"/>
    </row>
    <row r="298" spans="3:7" x14ac:dyDescent="0.25">
      <c r="C298" s="6"/>
      <c r="D298" s="6"/>
      <c r="E298" s="6"/>
      <c r="F298" s="6"/>
      <c r="G298" s="6"/>
    </row>
    <row r="299" spans="3:7" x14ac:dyDescent="0.25">
      <c r="C299" s="6"/>
      <c r="D299" s="6"/>
      <c r="E299" s="6"/>
      <c r="F299" s="6"/>
      <c r="G299" s="6"/>
    </row>
    <row r="300" spans="3:7" x14ac:dyDescent="0.25">
      <c r="C300" s="6"/>
      <c r="D300" s="6"/>
      <c r="E300" s="6"/>
      <c r="F300" s="6"/>
      <c r="G300" s="6"/>
    </row>
    <row r="301" spans="3:7" x14ac:dyDescent="0.25">
      <c r="C301" s="6"/>
      <c r="D301" s="6"/>
      <c r="E301" s="6"/>
      <c r="F301" s="6"/>
      <c r="G301" s="6"/>
    </row>
    <row r="302" spans="3:7" x14ac:dyDescent="0.25">
      <c r="C302" s="6"/>
      <c r="D302" s="6"/>
      <c r="E302" s="6"/>
      <c r="F302" s="6"/>
      <c r="G302" s="6"/>
    </row>
    <row r="303" spans="3:7" x14ac:dyDescent="0.25">
      <c r="C303" s="6"/>
      <c r="D303" s="6"/>
      <c r="E303" s="6"/>
      <c r="F303" s="6"/>
      <c r="G303" s="6"/>
    </row>
    <row r="304" spans="3:7" x14ac:dyDescent="0.25">
      <c r="C304" s="6"/>
      <c r="D304" s="6"/>
      <c r="E304" s="6"/>
      <c r="F304" s="6"/>
      <c r="G304" s="6"/>
    </row>
    <row r="305" spans="3:7" x14ac:dyDescent="0.25">
      <c r="C305" s="6"/>
      <c r="D305" s="6"/>
      <c r="E305" s="6"/>
      <c r="F305" s="6"/>
      <c r="G305" s="6"/>
    </row>
    <row r="306" spans="3:7" x14ac:dyDescent="0.25">
      <c r="C306" s="6"/>
      <c r="D306" s="6"/>
      <c r="E306" s="6"/>
      <c r="F306" s="6"/>
      <c r="G306" s="6"/>
    </row>
    <row r="307" spans="3:7" x14ac:dyDescent="0.25">
      <c r="C307" s="6"/>
      <c r="D307" s="6"/>
      <c r="E307" s="6"/>
      <c r="F307" s="6"/>
      <c r="G307" s="6"/>
    </row>
    <row r="308" spans="3:7" x14ac:dyDescent="0.25">
      <c r="C308" s="6"/>
      <c r="D308" s="6"/>
      <c r="E308" s="6"/>
      <c r="F308" s="6"/>
      <c r="G308" s="6"/>
    </row>
    <row r="309" spans="3:7" x14ac:dyDescent="0.25">
      <c r="C309" s="6"/>
      <c r="D309" s="6"/>
      <c r="E309" s="6"/>
      <c r="F309" s="6"/>
      <c r="G309" s="6"/>
    </row>
    <row r="310" spans="3:7" x14ac:dyDescent="0.25">
      <c r="C310" s="6"/>
      <c r="D310" s="6"/>
      <c r="E310" s="6"/>
      <c r="F310" s="6"/>
      <c r="G310" s="6"/>
    </row>
    <row r="311" spans="3:7" x14ac:dyDescent="0.25">
      <c r="C311" s="6"/>
      <c r="D311" s="6"/>
      <c r="E311" s="6"/>
      <c r="F311" s="6"/>
      <c r="G311" s="6"/>
    </row>
    <row r="312" spans="3:7" x14ac:dyDescent="0.25">
      <c r="C312" s="6"/>
      <c r="D312" s="6"/>
      <c r="E312" s="6"/>
      <c r="F312" s="6"/>
      <c r="G312" s="6"/>
    </row>
    <row r="313" spans="3:7" x14ac:dyDescent="0.25">
      <c r="C313" s="6"/>
      <c r="D313" s="6"/>
      <c r="E313" s="6"/>
      <c r="F313" s="6"/>
      <c r="G313" s="6"/>
    </row>
    <row r="314" spans="3:7" x14ac:dyDescent="0.25">
      <c r="C314" s="6"/>
      <c r="D314" s="6"/>
      <c r="E314" s="6"/>
      <c r="F314" s="6"/>
      <c r="G314" s="6"/>
    </row>
    <row r="315" spans="3:7" x14ac:dyDescent="0.25">
      <c r="C315" s="6"/>
      <c r="D315" s="6"/>
      <c r="E315" s="6"/>
      <c r="F315" s="6"/>
      <c r="G315" s="6"/>
    </row>
    <row r="316" spans="3:7" x14ac:dyDescent="0.25">
      <c r="C316" s="6"/>
      <c r="D316" s="6"/>
      <c r="E316" s="6"/>
      <c r="F316" s="6"/>
      <c r="G316" s="6"/>
    </row>
    <row r="317" spans="3:7" x14ac:dyDescent="0.25">
      <c r="C317" s="6"/>
      <c r="D317" s="6"/>
      <c r="E317" s="6"/>
      <c r="F317" s="6"/>
      <c r="G317" s="6"/>
    </row>
    <row r="318" spans="3:7" x14ac:dyDescent="0.25">
      <c r="C318" s="6"/>
      <c r="D318" s="6"/>
      <c r="E318" s="6"/>
      <c r="F318" s="6"/>
      <c r="G318" s="6"/>
    </row>
    <row r="319" spans="3:7" x14ac:dyDescent="0.25">
      <c r="C319" s="6"/>
      <c r="D319" s="6"/>
      <c r="E319" s="6"/>
      <c r="F319" s="6"/>
      <c r="G319" s="6"/>
    </row>
    <row r="320" spans="3:7" x14ac:dyDescent="0.25">
      <c r="C320" s="6"/>
      <c r="D320" s="6"/>
      <c r="E320" s="6"/>
      <c r="F320" s="6"/>
      <c r="G320" s="6"/>
    </row>
    <row r="321" spans="3:7" x14ac:dyDescent="0.25">
      <c r="C321" s="6"/>
      <c r="D321" s="6"/>
      <c r="E321" s="6"/>
      <c r="F321" s="6"/>
      <c r="G321" s="6"/>
    </row>
    <row r="322" spans="3:7" x14ac:dyDescent="0.25">
      <c r="C322" s="6"/>
      <c r="D322" s="6"/>
      <c r="E322" s="6"/>
      <c r="F322" s="6"/>
      <c r="G322" s="6"/>
    </row>
    <row r="323" spans="3:7" x14ac:dyDescent="0.25">
      <c r="C323" s="6"/>
      <c r="D323" s="6"/>
      <c r="E323" s="6"/>
      <c r="F323" s="6"/>
      <c r="G323" s="6"/>
    </row>
    <row r="324" spans="3:7" x14ac:dyDescent="0.25">
      <c r="C324" s="6"/>
      <c r="D324" s="6"/>
      <c r="E324" s="6"/>
      <c r="F324" s="6"/>
      <c r="G324" s="6"/>
    </row>
    <row r="325" spans="3:7" x14ac:dyDescent="0.25">
      <c r="C325" s="6"/>
      <c r="D325" s="6"/>
      <c r="E325" s="6"/>
      <c r="F325" s="6"/>
      <c r="G325" s="6"/>
    </row>
    <row r="326" spans="3:7" x14ac:dyDescent="0.25">
      <c r="C326" s="6"/>
      <c r="D326" s="6"/>
      <c r="E326" s="6"/>
      <c r="F326" s="6"/>
      <c r="G326" s="6"/>
    </row>
    <row r="327" spans="3:7" x14ac:dyDescent="0.25">
      <c r="C327" s="6"/>
      <c r="D327" s="6"/>
      <c r="E327" s="6"/>
      <c r="F327" s="6"/>
      <c r="G327" s="6"/>
    </row>
    <row r="328" spans="3:7" x14ac:dyDescent="0.25">
      <c r="C328" s="6"/>
      <c r="D328" s="6"/>
      <c r="E328" s="6"/>
      <c r="F328" s="6"/>
      <c r="G328" s="6"/>
    </row>
    <row r="329" spans="3:7" x14ac:dyDescent="0.25">
      <c r="C329" s="6"/>
      <c r="D329" s="6"/>
      <c r="E329" s="6"/>
      <c r="F329" s="6"/>
      <c r="G329" s="6"/>
    </row>
    <row r="330" spans="3:7" x14ac:dyDescent="0.25">
      <c r="C330" s="6"/>
      <c r="D330" s="6"/>
      <c r="E330" s="6"/>
      <c r="F330" s="6"/>
      <c r="G330" s="6"/>
    </row>
    <row r="331" spans="3:7" x14ac:dyDescent="0.25">
      <c r="C331" s="6"/>
      <c r="D331" s="6"/>
      <c r="E331" s="6"/>
      <c r="F331" s="6"/>
      <c r="G331" s="6"/>
    </row>
    <row r="332" spans="3:7" x14ac:dyDescent="0.25">
      <c r="C332" s="6"/>
      <c r="D332" s="6"/>
      <c r="E332" s="6"/>
      <c r="F332" s="6"/>
      <c r="G332" s="6"/>
    </row>
    <row r="333" spans="3:7" x14ac:dyDescent="0.25">
      <c r="C333" s="6"/>
      <c r="D333" s="6"/>
      <c r="E333" s="6"/>
      <c r="F333" s="6"/>
      <c r="G333" s="6"/>
    </row>
    <row r="334" spans="3:7" x14ac:dyDescent="0.25">
      <c r="C334" s="6"/>
      <c r="D334" s="6"/>
      <c r="E334" s="6"/>
      <c r="F334" s="6"/>
      <c r="G334" s="6"/>
    </row>
    <row r="335" spans="3:7" x14ac:dyDescent="0.25">
      <c r="C335" s="6"/>
      <c r="D335" s="6"/>
      <c r="E335" s="6"/>
      <c r="F335" s="6"/>
      <c r="G335" s="6"/>
    </row>
    <row r="336" spans="3:7" x14ac:dyDescent="0.25">
      <c r="C336" s="6"/>
      <c r="D336" s="6"/>
      <c r="E336" s="6"/>
      <c r="F336" s="6"/>
      <c r="G336" s="6"/>
    </row>
    <row r="337" spans="3:7" x14ac:dyDescent="0.25">
      <c r="C337" s="6"/>
      <c r="D337" s="6"/>
      <c r="E337" s="6"/>
      <c r="F337" s="6"/>
      <c r="G337" s="6"/>
    </row>
    <row r="338" spans="3:7" x14ac:dyDescent="0.25">
      <c r="C338" s="6"/>
      <c r="D338" s="6"/>
      <c r="E338" s="6"/>
      <c r="F338" s="6"/>
      <c r="G338" s="6"/>
    </row>
    <row r="339" spans="3:7" x14ac:dyDescent="0.25">
      <c r="C339" s="6"/>
      <c r="D339" s="6"/>
      <c r="E339" s="6"/>
      <c r="F339" s="6"/>
      <c r="G339" s="6"/>
    </row>
    <row r="340" spans="3:7" x14ac:dyDescent="0.25">
      <c r="C340" s="6"/>
      <c r="D340" s="6"/>
      <c r="E340" s="6"/>
      <c r="F340" s="6"/>
      <c r="G340" s="6"/>
    </row>
    <row r="341" spans="3:7" x14ac:dyDescent="0.25">
      <c r="C341" s="6"/>
      <c r="D341" s="6"/>
      <c r="E341" s="6"/>
      <c r="F341" s="6"/>
      <c r="G341" s="6"/>
    </row>
    <row r="342" spans="3:7" x14ac:dyDescent="0.25">
      <c r="C342" s="6"/>
      <c r="D342" s="6"/>
      <c r="E342" s="6"/>
      <c r="F342" s="6"/>
      <c r="G342" s="6"/>
    </row>
    <row r="343" spans="3:7" x14ac:dyDescent="0.25">
      <c r="C343" s="6"/>
      <c r="D343" s="6"/>
      <c r="E343" s="6"/>
      <c r="F343" s="6"/>
      <c r="G343" s="6"/>
    </row>
    <row r="344" spans="3:7" x14ac:dyDescent="0.25">
      <c r="C344" s="6"/>
      <c r="D344" s="6"/>
      <c r="E344" s="6"/>
      <c r="F344" s="6"/>
      <c r="G344" s="6"/>
    </row>
    <row r="345" spans="3:7" x14ac:dyDescent="0.25">
      <c r="C345" s="6"/>
      <c r="D345" s="6"/>
      <c r="E345" s="6"/>
      <c r="F345" s="6"/>
      <c r="G345" s="6"/>
    </row>
    <row r="346" spans="3:7" x14ac:dyDescent="0.25">
      <c r="C346" s="6"/>
      <c r="D346" s="6"/>
      <c r="E346" s="6"/>
      <c r="F346" s="6"/>
      <c r="G346" s="6"/>
    </row>
    <row r="347" spans="3:7" x14ac:dyDescent="0.25">
      <c r="C347" s="6"/>
      <c r="D347" s="6"/>
      <c r="E347" s="6"/>
      <c r="F347" s="6"/>
      <c r="G347" s="6"/>
    </row>
    <row r="348" spans="3:7" x14ac:dyDescent="0.25">
      <c r="C348" s="6"/>
      <c r="D348" s="6"/>
      <c r="E348" s="6"/>
      <c r="F348" s="6"/>
      <c r="G348" s="6"/>
    </row>
    <row r="349" spans="3:7" x14ac:dyDescent="0.25">
      <c r="C349" s="6"/>
      <c r="D349" s="6"/>
      <c r="E349" s="6"/>
      <c r="F349" s="6"/>
      <c r="G349" s="6"/>
    </row>
    <row r="350" spans="3:7" x14ac:dyDescent="0.25">
      <c r="C350" s="6"/>
      <c r="D350" s="6"/>
      <c r="E350" s="6"/>
      <c r="F350" s="6"/>
      <c r="G350" s="6"/>
    </row>
    <row r="351" spans="3:7" x14ac:dyDescent="0.25">
      <c r="C351" s="6"/>
      <c r="D351" s="6"/>
      <c r="E351" s="6"/>
      <c r="F351" s="6"/>
      <c r="G351" s="6"/>
    </row>
    <row r="352" spans="3:7" x14ac:dyDescent="0.25">
      <c r="C352" s="6"/>
      <c r="D352" s="6"/>
      <c r="E352" s="6"/>
      <c r="F352" s="6"/>
      <c r="G352" s="6"/>
    </row>
    <row r="353" spans="3:7" x14ac:dyDescent="0.25">
      <c r="C353" s="6"/>
      <c r="D353" s="6"/>
      <c r="E353" s="6"/>
      <c r="F353" s="6"/>
      <c r="G353" s="6"/>
    </row>
    <row r="354" spans="3:7" x14ac:dyDescent="0.25">
      <c r="C354" s="6"/>
      <c r="D354" s="6"/>
      <c r="E354" s="6"/>
      <c r="F354" s="6"/>
      <c r="G354" s="6"/>
    </row>
    <row r="355" spans="3:7" x14ac:dyDescent="0.25">
      <c r="C355" s="6"/>
      <c r="D355" s="6"/>
      <c r="E355" s="6"/>
      <c r="F355" s="6"/>
      <c r="G355" s="6"/>
    </row>
    <row r="356" spans="3:7" x14ac:dyDescent="0.25">
      <c r="C356" s="6"/>
      <c r="D356" s="6"/>
      <c r="E356" s="6"/>
      <c r="F356" s="6"/>
      <c r="G356" s="6"/>
    </row>
    <row r="357" spans="3:7" x14ac:dyDescent="0.25">
      <c r="C357" s="6"/>
      <c r="D357" s="6"/>
      <c r="E357" s="6"/>
      <c r="F357" s="6"/>
      <c r="G357" s="6"/>
    </row>
    <row r="358" spans="3:7" x14ac:dyDescent="0.25">
      <c r="C358" s="6"/>
      <c r="D358" s="6"/>
      <c r="E358" s="6"/>
      <c r="F358" s="6"/>
      <c r="G358" s="6"/>
    </row>
    <row r="359" spans="3:7" x14ac:dyDescent="0.25">
      <c r="C359" s="6"/>
      <c r="D359" s="6"/>
      <c r="E359" s="6"/>
      <c r="F359" s="6"/>
      <c r="G359" s="6"/>
    </row>
    <row r="360" spans="3:7" x14ac:dyDescent="0.25">
      <c r="C360" s="6"/>
      <c r="D360" s="6"/>
      <c r="E360" s="6"/>
      <c r="F360" s="6"/>
      <c r="G360" s="6"/>
    </row>
    <row r="361" spans="3:7" x14ac:dyDescent="0.25">
      <c r="C361" s="6"/>
      <c r="D361" s="6"/>
      <c r="E361" s="6"/>
      <c r="F361" s="6"/>
      <c r="G361" s="6"/>
    </row>
    <row r="362" spans="3:7" x14ac:dyDescent="0.25">
      <c r="C362" s="6"/>
      <c r="D362" s="6"/>
      <c r="E362" s="6"/>
      <c r="F362" s="6"/>
      <c r="G362" s="6"/>
    </row>
    <row r="363" spans="3:7" x14ac:dyDescent="0.25">
      <c r="C363" s="6"/>
      <c r="D363" s="6"/>
      <c r="E363" s="6"/>
      <c r="F363" s="6"/>
      <c r="G363" s="6"/>
    </row>
    <row r="364" spans="3:7" x14ac:dyDescent="0.25">
      <c r="C364" s="6"/>
      <c r="D364" s="6"/>
      <c r="E364" s="6"/>
      <c r="F364" s="6"/>
      <c r="G364" s="6"/>
    </row>
    <row r="365" spans="3:7" x14ac:dyDescent="0.25">
      <c r="C365" s="6"/>
      <c r="D365" s="6"/>
      <c r="E365" s="6"/>
      <c r="F365" s="6"/>
      <c r="G365" s="6"/>
    </row>
    <row r="366" spans="3:7" x14ac:dyDescent="0.25">
      <c r="C366" s="6"/>
      <c r="D366" s="6"/>
      <c r="E366" s="6"/>
      <c r="F366" s="6"/>
      <c r="G366" s="6"/>
    </row>
    <row r="367" spans="3:7" x14ac:dyDescent="0.25">
      <c r="C367" s="6"/>
      <c r="D367" s="6"/>
      <c r="E367" s="6"/>
      <c r="F367" s="6"/>
      <c r="G367" s="6"/>
    </row>
    <row r="368" spans="3:7" x14ac:dyDescent="0.25">
      <c r="C368" s="6"/>
      <c r="D368" s="6"/>
      <c r="E368" s="6"/>
      <c r="F368" s="6"/>
      <c r="G368" s="6"/>
    </row>
    <row r="369" spans="3:7" x14ac:dyDescent="0.25">
      <c r="C369" s="6"/>
      <c r="D369" s="6"/>
      <c r="E369" s="6"/>
      <c r="F369" s="6"/>
      <c r="G369" s="6"/>
    </row>
    <row r="370" spans="3:7" x14ac:dyDescent="0.25">
      <c r="C370" s="6"/>
      <c r="D370" s="6"/>
      <c r="E370" s="6"/>
      <c r="F370" s="6"/>
      <c r="G370" s="6"/>
    </row>
    <row r="371" spans="3:7" x14ac:dyDescent="0.25">
      <c r="C371" s="6"/>
      <c r="D371" s="6"/>
      <c r="E371" s="6"/>
      <c r="F371" s="6"/>
      <c r="G371" s="6"/>
    </row>
    <row r="372" spans="3:7" x14ac:dyDescent="0.25">
      <c r="C372" s="6"/>
      <c r="D372" s="6"/>
      <c r="E372" s="6"/>
      <c r="F372" s="6"/>
      <c r="G372" s="6"/>
    </row>
    <row r="373" spans="3:7" x14ac:dyDescent="0.25">
      <c r="C373" s="6"/>
      <c r="D373" s="6"/>
      <c r="E373" s="6"/>
      <c r="F373" s="6"/>
      <c r="G373" s="6"/>
    </row>
    <row r="374" spans="3:7" x14ac:dyDescent="0.25">
      <c r="C374" s="6"/>
      <c r="D374" s="6"/>
      <c r="E374" s="6"/>
      <c r="F374" s="6"/>
      <c r="G374" s="6"/>
    </row>
    <row r="375" spans="3:7" x14ac:dyDescent="0.25">
      <c r="C375" s="6"/>
      <c r="D375" s="6"/>
      <c r="E375" s="6"/>
      <c r="F375" s="6"/>
      <c r="G375" s="6"/>
    </row>
    <row r="376" spans="3:7" x14ac:dyDescent="0.25">
      <c r="C376" s="6"/>
      <c r="D376" s="6"/>
      <c r="E376" s="6"/>
      <c r="F376" s="6"/>
      <c r="G376" s="6"/>
    </row>
    <row r="377" spans="3:7" x14ac:dyDescent="0.25">
      <c r="C377" s="6"/>
      <c r="D377" s="6"/>
      <c r="E377" s="6"/>
      <c r="F377" s="6"/>
      <c r="G377" s="6"/>
    </row>
    <row r="378" spans="3:7" x14ac:dyDescent="0.25">
      <c r="C378" s="6"/>
      <c r="D378" s="6"/>
      <c r="E378" s="6"/>
      <c r="F378" s="6"/>
      <c r="G378" s="6"/>
    </row>
    <row r="379" spans="3:7" x14ac:dyDescent="0.25">
      <c r="C379" s="6"/>
      <c r="D379" s="6"/>
      <c r="E379" s="6"/>
      <c r="F379" s="6"/>
      <c r="G379" s="6"/>
    </row>
    <row r="380" spans="3:7" x14ac:dyDescent="0.25">
      <c r="C380" s="6"/>
      <c r="D380" s="6"/>
      <c r="E380" s="6"/>
      <c r="F380" s="6"/>
      <c r="G380" s="6"/>
    </row>
    <row r="381" spans="3:7" x14ac:dyDescent="0.25">
      <c r="C381" s="6"/>
      <c r="D381" s="6"/>
      <c r="E381" s="6"/>
      <c r="F381" s="6"/>
      <c r="G381" s="6"/>
    </row>
    <row r="382" spans="3:7" x14ac:dyDescent="0.25">
      <c r="C382" s="6"/>
      <c r="D382" s="6"/>
      <c r="E382" s="6"/>
      <c r="F382" s="6"/>
      <c r="G382" s="6"/>
    </row>
    <row r="383" spans="3:7" x14ac:dyDescent="0.25">
      <c r="C383" s="6"/>
      <c r="D383" s="6"/>
      <c r="E383" s="6"/>
      <c r="F383" s="6"/>
      <c r="G383" s="6"/>
    </row>
    <row r="384" spans="3:7" x14ac:dyDescent="0.25">
      <c r="C384" s="6"/>
      <c r="D384" s="6"/>
      <c r="E384" s="6"/>
      <c r="F384" s="6"/>
      <c r="G384" s="6"/>
    </row>
    <row r="385" spans="3:7" x14ac:dyDescent="0.25">
      <c r="C385" s="6"/>
      <c r="D385" s="6"/>
      <c r="E385" s="6"/>
      <c r="F385" s="6"/>
      <c r="G385" s="6"/>
    </row>
    <row r="386" spans="3:7" x14ac:dyDescent="0.25">
      <c r="C386" s="6"/>
      <c r="D386" s="6"/>
      <c r="E386" s="6"/>
      <c r="F386" s="6"/>
      <c r="G386" s="6"/>
    </row>
    <row r="387" spans="3:7" x14ac:dyDescent="0.25">
      <c r="C387" s="6"/>
      <c r="D387" s="6"/>
      <c r="E387" s="6"/>
      <c r="F387" s="6"/>
      <c r="G387" s="6"/>
    </row>
    <row r="388" spans="3:7" x14ac:dyDescent="0.25">
      <c r="C388" s="6"/>
      <c r="D388" s="6"/>
      <c r="E388" s="6"/>
      <c r="F388" s="6"/>
      <c r="G388" s="6"/>
    </row>
    <row r="389" spans="3:7" x14ac:dyDescent="0.25">
      <c r="C389" s="6"/>
      <c r="D389" s="6"/>
      <c r="E389" s="6"/>
      <c r="F389" s="6"/>
      <c r="G389" s="6"/>
    </row>
    <row r="390" spans="3:7" x14ac:dyDescent="0.25">
      <c r="C390" s="6"/>
      <c r="D390" s="6"/>
      <c r="E390" s="6"/>
      <c r="F390" s="6"/>
      <c r="G390" s="6"/>
    </row>
    <row r="391" spans="3:7" x14ac:dyDescent="0.25">
      <c r="C391" s="6"/>
      <c r="D391" s="6"/>
      <c r="E391" s="6"/>
      <c r="F391" s="6"/>
      <c r="G391" s="6"/>
    </row>
    <row r="392" spans="3:7" x14ac:dyDescent="0.25">
      <c r="C392" s="6"/>
      <c r="D392" s="6"/>
      <c r="E392" s="6"/>
      <c r="F392" s="6"/>
      <c r="G392" s="6"/>
    </row>
    <row r="393" spans="3:7" x14ac:dyDescent="0.25">
      <c r="C393" s="6"/>
      <c r="D393" s="6"/>
      <c r="E393" s="6"/>
      <c r="F393" s="6"/>
      <c r="G393" s="6"/>
    </row>
    <row r="394" spans="3:7" x14ac:dyDescent="0.25">
      <c r="C394" s="6"/>
      <c r="D394" s="6"/>
      <c r="E394" s="6"/>
      <c r="F394" s="6"/>
      <c r="G394" s="6"/>
    </row>
    <row r="395" spans="3:7" x14ac:dyDescent="0.25">
      <c r="C395" s="6"/>
      <c r="D395" s="6"/>
      <c r="E395" s="6"/>
      <c r="F395" s="6"/>
      <c r="G395" s="6"/>
    </row>
    <row r="396" spans="3:7" x14ac:dyDescent="0.25">
      <c r="C396" s="6"/>
      <c r="D396" s="6"/>
      <c r="E396" s="6"/>
      <c r="F396" s="6"/>
      <c r="G396" s="6"/>
    </row>
    <row r="397" spans="3:7" x14ac:dyDescent="0.25">
      <c r="C397" s="6"/>
      <c r="D397" s="6"/>
      <c r="E397" s="6"/>
      <c r="F397" s="6"/>
      <c r="G397" s="6"/>
    </row>
    <row r="398" spans="3:7" x14ac:dyDescent="0.25">
      <c r="C398" s="6"/>
      <c r="D398" s="6"/>
      <c r="E398" s="6"/>
      <c r="F398" s="6"/>
      <c r="G398" s="6"/>
    </row>
    <row r="399" spans="3:7" x14ac:dyDescent="0.25">
      <c r="C399" s="6"/>
      <c r="D399" s="6"/>
      <c r="E399" s="6"/>
      <c r="F399" s="6"/>
      <c r="G399" s="6"/>
    </row>
    <row r="400" spans="3:7" x14ac:dyDescent="0.25">
      <c r="C400" s="6"/>
      <c r="D400" s="6"/>
      <c r="E400" s="6"/>
      <c r="F400" s="6"/>
      <c r="G400" s="6"/>
    </row>
    <row r="401" spans="3:7" x14ac:dyDescent="0.25">
      <c r="C401" s="6"/>
      <c r="D401" s="6"/>
      <c r="E401" s="6"/>
      <c r="F401" s="6"/>
      <c r="G401" s="6"/>
    </row>
    <row r="402" spans="3:7" x14ac:dyDescent="0.25">
      <c r="C402" s="6"/>
      <c r="D402" s="6"/>
      <c r="E402" s="6"/>
      <c r="F402" s="6"/>
      <c r="G402" s="6"/>
    </row>
    <row r="403" spans="3:7" x14ac:dyDescent="0.25">
      <c r="C403" s="6"/>
      <c r="D403" s="6"/>
      <c r="E403" s="6"/>
      <c r="F403" s="6"/>
      <c r="G403" s="6"/>
    </row>
    <row r="404" spans="3:7" x14ac:dyDescent="0.25">
      <c r="C404" s="6"/>
      <c r="D404" s="6"/>
      <c r="E404" s="6"/>
      <c r="F404" s="6"/>
      <c r="G404" s="6"/>
    </row>
    <row r="405" spans="3:7" x14ac:dyDescent="0.25">
      <c r="C405" s="6"/>
      <c r="D405" s="6"/>
      <c r="E405" s="6"/>
      <c r="F405" s="6"/>
      <c r="G405" s="6"/>
    </row>
    <row r="406" spans="3:7" x14ac:dyDescent="0.25">
      <c r="C406" s="6"/>
      <c r="D406" s="6"/>
      <c r="E406" s="6"/>
      <c r="F406" s="6"/>
      <c r="G406" s="6"/>
    </row>
    <row r="407" spans="3:7" x14ac:dyDescent="0.25">
      <c r="C407" s="6"/>
      <c r="D407" s="6"/>
      <c r="E407" s="6"/>
      <c r="F407" s="6"/>
      <c r="G407" s="6"/>
    </row>
    <row r="408" spans="3:7" x14ac:dyDescent="0.25">
      <c r="C408" s="6"/>
      <c r="D408" s="6"/>
      <c r="E408" s="6"/>
      <c r="F408" s="6"/>
      <c r="G408" s="6"/>
    </row>
    <row r="409" spans="3:7" x14ac:dyDescent="0.25">
      <c r="C409" s="6"/>
      <c r="D409" s="6"/>
      <c r="E409" s="6"/>
      <c r="F409" s="6"/>
      <c r="G409" s="6"/>
    </row>
    <row r="410" spans="3:7" x14ac:dyDescent="0.25">
      <c r="C410" s="6"/>
      <c r="D410" s="6"/>
      <c r="E410" s="6"/>
      <c r="F410" s="6"/>
      <c r="G410" s="6"/>
    </row>
    <row r="411" spans="3:7" x14ac:dyDescent="0.25">
      <c r="C411" s="6"/>
      <c r="D411" s="6"/>
      <c r="E411" s="6"/>
      <c r="F411" s="6"/>
      <c r="G411" s="6"/>
    </row>
    <row r="412" spans="3:7" x14ac:dyDescent="0.25">
      <c r="C412" s="6"/>
      <c r="D412" s="6"/>
      <c r="E412" s="6"/>
      <c r="F412" s="6"/>
      <c r="G412" s="6"/>
    </row>
    <row r="413" spans="3:7" x14ac:dyDescent="0.25">
      <c r="C413" s="6"/>
      <c r="D413" s="6"/>
      <c r="E413" s="6"/>
      <c r="F413" s="6"/>
      <c r="G413" s="6"/>
    </row>
    <row r="414" spans="3:7" x14ac:dyDescent="0.25">
      <c r="C414" s="6"/>
      <c r="D414" s="6"/>
      <c r="E414" s="6"/>
      <c r="F414" s="6"/>
      <c r="G414" s="6"/>
    </row>
    <row r="415" spans="3:7" x14ac:dyDescent="0.25">
      <c r="C415" s="6"/>
      <c r="D415" s="6"/>
      <c r="E415" s="6"/>
      <c r="F415" s="6"/>
      <c r="G415" s="6"/>
    </row>
    <row r="416" spans="3:7" x14ac:dyDescent="0.25">
      <c r="C416" s="6"/>
      <c r="D416" s="6"/>
      <c r="E416" s="6"/>
      <c r="F416" s="6"/>
      <c r="G416" s="6"/>
    </row>
    <row r="417" spans="3:7" x14ac:dyDescent="0.25">
      <c r="C417" s="6"/>
      <c r="D417" s="6"/>
      <c r="E417" s="6"/>
      <c r="F417" s="6"/>
      <c r="G417" s="6"/>
    </row>
    <row r="418" spans="3:7" x14ac:dyDescent="0.25">
      <c r="C418" s="6"/>
      <c r="D418" s="6"/>
      <c r="E418" s="6"/>
      <c r="F418" s="6"/>
      <c r="G418" s="6"/>
    </row>
    <row r="419" spans="3:7" x14ac:dyDescent="0.25">
      <c r="C419" s="6"/>
      <c r="D419" s="6"/>
      <c r="E419" s="6"/>
      <c r="F419" s="6"/>
      <c r="G419" s="6"/>
    </row>
    <row r="420" spans="3:7" x14ac:dyDescent="0.25">
      <c r="C420" s="6"/>
      <c r="D420" s="6"/>
      <c r="E420" s="6"/>
      <c r="F420" s="6"/>
      <c r="G420" s="6"/>
    </row>
    <row r="421" spans="3:7" x14ac:dyDescent="0.25">
      <c r="C421" s="6"/>
      <c r="D421" s="6"/>
      <c r="E421" s="6"/>
      <c r="F421" s="6"/>
      <c r="G421" s="6"/>
    </row>
    <row r="422" spans="3:7" x14ac:dyDescent="0.25">
      <c r="C422" s="6"/>
      <c r="D422" s="6"/>
      <c r="E422" s="6"/>
      <c r="F422" s="6"/>
      <c r="G422" s="6"/>
    </row>
    <row r="423" spans="3:7" x14ac:dyDescent="0.25">
      <c r="C423" s="6"/>
      <c r="D423" s="6"/>
      <c r="E423" s="6"/>
      <c r="F423" s="6"/>
      <c r="G423" s="6"/>
    </row>
    <row r="424" spans="3:7" x14ac:dyDescent="0.25">
      <c r="C424" s="6"/>
      <c r="D424" s="6"/>
      <c r="E424" s="6"/>
      <c r="F424" s="6"/>
      <c r="G424" s="6"/>
    </row>
    <row r="425" spans="3:7" x14ac:dyDescent="0.25">
      <c r="C425" s="6"/>
      <c r="D425" s="6"/>
      <c r="E425" s="6"/>
      <c r="F425" s="6"/>
      <c r="G425" s="6"/>
    </row>
    <row r="426" spans="3:7" x14ac:dyDescent="0.25">
      <c r="C426" s="6"/>
      <c r="D426" s="6"/>
      <c r="E426" s="6"/>
      <c r="F426" s="6"/>
      <c r="G426" s="6"/>
    </row>
    <row r="427" spans="3:7" x14ac:dyDescent="0.25">
      <c r="C427" s="6"/>
      <c r="D427" s="6"/>
      <c r="E427" s="6"/>
      <c r="F427" s="6"/>
      <c r="G427" s="6"/>
    </row>
    <row r="428" spans="3:7" x14ac:dyDescent="0.25">
      <c r="C428" s="6"/>
      <c r="D428" s="6"/>
      <c r="E428" s="6"/>
      <c r="F428" s="6"/>
      <c r="G428" s="6"/>
    </row>
    <row r="429" spans="3:7" x14ac:dyDescent="0.25">
      <c r="C429" s="6"/>
      <c r="D429" s="6"/>
      <c r="E429" s="6"/>
      <c r="F429" s="6"/>
      <c r="G429" s="6"/>
    </row>
    <row r="430" spans="3:7" x14ac:dyDescent="0.25">
      <c r="C430" s="6"/>
      <c r="D430" s="6"/>
      <c r="E430" s="6"/>
      <c r="F430" s="6"/>
      <c r="G430" s="6"/>
    </row>
    <row r="431" spans="3:7" x14ac:dyDescent="0.25">
      <c r="C431" s="6"/>
      <c r="D431" s="6"/>
      <c r="E431" s="6"/>
      <c r="F431" s="6"/>
      <c r="G431" s="6"/>
    </row>
    <row r="432" spans="3:7" x14ac:dyDescent="0.25">
      <c r="C432" s="6"/>
      <c r="D432" s="6"/>
      <c r="E432" s="6"/>
      <c r="F432" s="6"/>
      <c r="G432" s="6"/>
    </row>
    <row r="433" spans="3:7" x14ac:dyDescent="0.25">
      <c r="C433" s="6"/>
      <c r="D433" s="6"/>
      <c r="E433" s="6"/>
      <c r="F433" s="6"/>
      <c r="G433" s="6"/>
    </row>
    <row r="434" spans="3:7" x14ac:dyDescent="0.25">
      <c r="C434" s="6"/>
      <c r="D434" s="6"/>
      <c r="E434" s="6"/>
      <c r="F434" s="6"/>
      <c r="G434" s="6"/>
    </row>
    <row r="435" spans="3:7" x14ac:dyDescent="0.25">
      <c r="C435" s="6"/>
      <c r="D435" s="6"/>
      <c r="E435" s="6"/>
      <c r="F435" s="6"/>
      <c r="G435" s="6"/>
    </row>
    <row r="436" spans="3:7" x14ac:dyDescent="0.25">
      <c r="C436" s="6"/>
      <c r="D436" s="6"/>
      <c r="E436" s="6"/>
      <c r="F436" s="6"/>
      <c r="G436" s="6"/>
    </row>
    <row r="437" spans="3:7" x14ac:dyDescent="0.25">
      <c r="C437" s="6"/>
      <c r="D437" s="6"/>
      <c r="E437" s="6"/>
      <c r="F437" s="6"/>
      <c r="G437" s="6"/>
    </row>
    <row r="438" spans="3:7" x14ac:dyDescent="0.25">
      <c r="C438" s="6"/>
      <c r="D438" s="6"/>
      <c r="E438" s="6"/>
      <c r="F438" s="6"/>
      <c r="G438" s="6"/>
    </row>
    <row r="439" spans="3:7" x14ac:dyDescent="0.25">
      <c r="C439" s="6"/>
      <c r="D439" s="6"/>
      <c r="E439" s="6"/>
      <c r="F439" s="6"/>
      <c r="G439" s="6"/>
    </row>
    <row r="440" spans="3:7" x14ac:dyDescent="0.25">
      <c r="C440" s="6"/>
      <c r="D440" s="6"/>
      <c r="E440" s="6"/>
      <c r="F440" s="6"/>
      <c r="G440" s="6"/>
    </row>
    <row r="441" spans="3:7" x14ac:dyDescent="0.25">
      <c r="C441" s="6"/>
      <c r="D441" s="6"/>
      <c r="E441" s="6"/>
      <c r="F441" s="6"/>
      <c r="G441" s="6"/>
    </row>
    <row r="442" spans="3:7" x14ac:dyDescent="0.25">
      <c r="C442" s="6"/>
      <c r="D442" s="6"/>
      <c r="E442" s="6"/>
      <c r="F442" s="6"/>
      <c r="G442" s="6"/>
    </row>
    <row r="443" spans="3:7" x14ac:dyDescent="0.25">
      <c r="C443" s="6"/>
      <c r="D443" s="6"/>
      <c r="E443" s="6"/>
      <c r="F443" s="6"/>
      <c r="G443" s="6"/>
    </row>
    <row r="444" spans="3:7" x14ac:dyDescent="0.25">
      <c r="C444" s="6"/>
      <c r="D444" s="6"/>
      <c r="E444" s="6"/>
      <c r="F444" s="6"/>
      <c r="G444" s="6"/>
    </row>
    <row r="445" spans="3:7" x14ac:dyDescent="0.25">
      <c r="C445" s="6"/>
      <c r="D445" s="6"/>
      <c r="E445" s="6"/>
      <c r="F445" s="6"/>
      <c r="G445" s="6"/>
    </row>
    <row r="446" spans="3:7" x14ac:dyDescent="0.25">
      <c r="C446" s="6"/>
      <c r="D446" s="6"/>
      <c r="E446" s="6"/>
      <c r="F446" s="6"/>
      <c r="G446" s="6"/>
    </row>
    <row r="447" spans="3:7" x14ac:dyDescent="0.25">
      <c r="C447" s="6"/>
      <c r="D447" s="6"/>
      <c r="E447" s="6"/>
      <c r="F447" s="6"/>
      <c r="G447" s="6"/>
    </row>
    <row r="448" spans="3:7" x14ac:dyDescent="0.25">
      <c r="C448" s="6"/>
      <c r="D448" s="6"/>
      <c r="E448" s="6"/>
      <c r="F448" s="6"/>
      <c r="G448" s="6"/>
    </row>
    <row r="449" spans="3:7" x14ac:dyDescent="0.25">
      <c r="C449" s="6"/>
      <c r="D449" s="6"/>
      <c r="E449" s="6"/>
      <c r="F449" s="6"/>
      <c r="G449" s="6"/>
    </row>
    <row r="450" spans="3:7" x14ac:dyDescent="0.25">
      <c r="C450" s="6"/>
      <c r="D450" s="6"/>
      <c r="E450" s="6"/>
      <c r="F450" s="6"/>
      <c r="G450" s="6"/>
    </row>
    <row r="451" spans="3:7" x14ac:dyDescent="0.25">
      <c r="C451" s="6"/>
      <c r="D451" s="6"/>
      <c r="E451" s="6"/>
      <c r="F451" s="6"/>
      <c r="G451" s="6"/>
    </row>
    <row r="452" spans="3:7" x14ac:dyDescent="0.25">
      <c r="C452" s="6"/>
      <c r="D452" s="6"/>
      <c r="E452" s="6"/>
      <c r="F452" s="6"/>
      <c r="G452" s="6"/>
    </row>
    <row r="453" spans="3:7" x14ac:dyDescent="0.25">
      <c r="C453" s="6"/>
      <c r="D453" s="6"/>
      <c r="E453" s="6"/>
      <c r="F453" s="6"/>
      <c r="G453" s="6"/>
    </row>
    <row r="454" spans="3:7" x14ac:dyDescent="0.25">
      <c r="C454" s="6"/>
      <c r="D454" s="6"/>
      <c r="E454" s="6"/>
      <c r="F454" s="6"/>
      <c r="G454" s="6"/>
    </row>
    <row r="455" spans="3:7" x14ac:dyDescent="0.25">
      <c r="C455" s="6"/>
      <c r="D455" s="6"/>
      <c r="E455" s="6"/>
      <c r="F455" s="6"/>
      <c r="G455" s="6"/>
    </row>
    <row r="456" spans="3:7" x14ac:dyDescent="0.25">
      <c r="C456" s="6"/>
      <c r="D456" s="6"/>
      <c r="E456" s="6"/>
      <c r="F456" s="6"/>
      <c r="G456" s="6"/>
    </row>
    <row r="457" spans="3:7" x14ac:dyDescent="0.25">
      <c r="C457" s="6"/>
      <c r="D457" s="6"/>
      <c r="E457" s="6"/>
      <c r="F457" s="6"/>
      <c r="G457" s="6"/>
    </row>
    <row r="458" spans="3:7" x14ac:dyDescent="0.25">
      <c r="C458" s="6"/>
      <c r="D458" s="6"/>
      <c r="E458" s="6"/>
      <c r="F458" s="6"/>
      <c r="G458" s="6"/>
    </row>
    <row r="459" spans="3:7" x14ac:dyDescent="0.25">
      <c r="C459" s="6"/>
      <c r="D459" s="6"/>
      <c r="E459" s="6"/>
      <c r="F459" s="6"/>
      <c r="G459" s="6"/>
    </row>
    <row r="460" spans="3:7" x14ac:dyDescent="0.25">
      <c r="C460" s="6"/>
      <c r="D460" s="6"/>
      <c r="E460" s="6"/>
      <c r="F460" s="6"/>
      <c r="G460" s="6"/>
    </row>
    <row r="461" spans="3:7" x14ac:dyDescent="0.25">
      <c r="C461" s="6"/>
      <c r="D461" s="6"/>
      <c r="E461" s="6"/>
      <c r="F461" s="6"/>
      <c r="G461" s="6"/>
    </row>
    <row r="462" spans="3:7" x14ac:dyDescent="0.25">
      <c r="C462" s="6"/>
      <c r="D462" s="6"/>
      <c r="E462" s="6"/>
      <c r="F462" s="6"/>
      <c r="G462" s="6"/>
    </row>
    <row r="463" spans="3:7" x14ac:dyDescent="0.25">
      <c r="C463" s="6"/>
      <c r="D463" s="6"/>
      <c r="E463" s="6"/>
      <c r="F463" s="6"/>
      <c r="G463" s="6"/>
    </row>
    <row r="464" spans="3:7" x14ac:dyDescent="0.25">
      <c r="C464" s="6"/>
      <c r="D464" s="6"/>
      <c r="E464" s="6"/>
      <c r="F464" s="6"/>
      <c r="G464" s="6"/>
    </row>
    <row r="465" spans="3:7" x14ac:dyDescent="0.25">
      <c r="C465" s="6"/>
      <c r="D465" s="6"/>
      <c r="E465" s="6"/>
      <c r="F465" s="6"/>
      <c r="G465" s="6"/>
    </row>
    <row r="466" spans="3:7" x14ac:dyDescent="0.25">
      <c r="C466" s="6"/>
      <c r="D466" s="6"/>
      <c r="E466" s="6"/>
      <c r="F466" s="6"/>
      <c r="G466" s="6"/>
    </row>
    <row r="467" spans="3:7" x14ac:dyDescent="0.25">
      <c r="C467" s="6"/>
      <c r="D467" s="6"/>
      <c r="E467" s="6"/>
      <c r="F467" s="6"/>
      <c r="G467" s="6"/>
    </row>
    <row r="468" spans="3:7" x14ac:dyDescent="0.25">
      <c r="C468" s="6"/>
      <c r="D468" s="6"/>
      <c r="E468" s="6"/>
      <c r="F468" s="6"/>
      <c r="G468" s="6"/>
    </row>
    <row r="469" spans="3:7" x14ac:dyDescent="0.25">
      <c r="C469" s="6"/>
      <c r="D469" s="6"/>
      <c r="E469" s="6"/>
      <c r="F469" s="6"/>
      <c r="G469" s="6"/>
    </row>
    <row r="470" spans="3:7" x14ac:dyDescent="0.25">
      <c r="C470" s="6"/>
      <c r="D470" s="6"/>
      <c r="E470" s="6"/>
      <c r="F470" s="6"/>
      <c r="G470" s="6"/>
    </row>
    <row r="471" spans="3:7" x14ac:dyDescent="0.25">
      <c r="C471" s="6"/>
      <c r="D471" s="6"/>
      <c r="E471" s="6"/>
      <c r="F471" s="6"/>
      <c r="G471" s="6"/>
    </row>
    <row r="472" spans="3:7" x14ac:dyDescent="0.25">
      <c r="C472" s="6"/>
      <c r="D472" s="6"/>
      <c r="E472" s="6"/>
      <c r="F472" s="6"/>
      <c r="G472" s="6"/>
    </row>
    <row r="473" spans="3:7" x14ac:dyDescent="0.25">
      <c r="C473" s="6"/>
      <c r="D473" s="6"/>
      <c r="E473" s="6"/>
      <c r="F473" s="6"/>
      <c r="G473" s="6"/>
    </row>
    <row r="474" spans="3:7" x14ac:dyDescent="0.25">
      <c r="C474" s="6"/>
      <c r="D474" s="6"/>
      <c r="E474" s="6"/>
      <c r="F474" s="6"/>
      <c r="G474" s="6"/>
    </row>
    <row r="475" spans="3:7" x14ac:dyDescent="0.25">
      <c r="C475" s="6"/>
      <c r="D475" s="6"/>
      <c r="E475" s="6"/>
      <c r="F475" s="6"/>
      <c r="G475" s="6"/>
    </row>
    <row r="476" spans="3:7" x14ac:dyDescent="0.25">
      <c r="C476" s="6"/>
      <c r="D476" s="6"/>
      <c r="E476" s="6"/>
      <c r="F476" s="6"/>
      <c r="G476" s="6"/>
    </row>
    <row r="477" spans="3:7" x14ac:dyDescent="0.25">
      <c r="C477" s="6"/>
      <c r="D477" s="6"/>
      <c r="E477" s="6"/>
      <c r="F477" s="6"/>
      <c r="G477" s="6"/>
    </row>
    <row r="478" spans="3:7" x14ac:dyDescent="0.25">
      <c r="C478" s="6"/>
      <c r="D478" s="6"/>
      <c r="E478" s="6"/>
      <c r="F478" s="6"/>
      <c r="G478" s="6"/>
    </row>
    <row r="479" spans="3:7" x14ac:dyDescent="0.25">
      <c r="C479" s="6"/>
      <c r="D479" s="6"/>
      <c r="E479" s="6"/>
      <c r="F479" s="6"/>
      <c r="G479" s="6"/>
    </row>
    <row r="480" spans="3:7" x14ac:dyDescent="0.25">
      <c r="C480" s="6"/>
      <c r="D480" s="6"/>
      <c r="E480" s="6"/>
      <c r="F480" s="6"/>
      <c r="G480" s="6"/>
    </row>
    <row r="481" spans="3:7" x14ac:dyDescent="0.25">
      <c r="C481" s="6"/>
      <c r="D481" s="6"/>
      <c r="E481" s="6"/>
      <c r="F481" s="6"/>
      <c r="G481" s="6"/>
    </row>
    <row r="482" spans="3:7" x14ac:dyDescent="0.25">
      <c r="C482" s="6"/>
      <c r="D482" s="6"/>
      <c r="E482" s="6"/>
      <c r="F482" s="6"/>
      <c r="G482" s="6"/>
    </row>
    <row r="483" spans="3:7" x14ac:dyDescent="0.25">
      <c r="C483" s="6"/>
      <c r="D483" s="6"/>
      <c r="E483" s="6"/>
      <c r="F483" s="6"/>
      <c r="G483" s="6"/>
    </row>
    <row r="484" spans="3:7" x14ac:dyDescent="0.25">
      <c r="C484" s="6"/>
      <c r="D484" s="6"/>
      <c r="E484" s="6"/>
      <c r="F484" s="6"/>
      <c r="G484" s="6"/>
    </row>
    <row r="485" spans="3:7" x14ac:dyDescent="0.25">
      <c r="C485" s="6"/>
      <c r="D485" s="6"/>
      <c r="E485" s="6"/>
      <c r="F485" s="6"/>
      <c r="G485" s="6"/>
    </row>
    <row r="486" spans="3:7" x14ac:dyDescent="0.25">
      <c r="C486" s="6"/>
      <c r="D486" s="6"/>
      <c r="E486" s="6"/>
      <c r="F486" s="6"/>
      <c r="G486" s="6"/>
    </row>
    <row r="487" spans="3:7" x14ac:dyDescent="0.25">
      <c r="C487" s="6"/>
      <c r="D487" s="6"/>
      <c r="E487" s="6"/>
      <c r="F487" s="6"/>
      <c r="G487" s="6"/>
    </row>
    <row r="488" spans="3:7" x14ac:dyDescent="0.25">
      <c r="C488" s="6"/>
      <c r="D488" s="6"/>
      <c r="E488" s="6"/>
      <c r="F488" s="6"/>
      <c r="G488" s="6"/>
    </row>
    <row r="489" spans="3:7" x14ac:dyDescent="0.25">
      <c r="C489" s="6"/>
      <c r="D489" s="6"/>
      <c r="E489" s="6"/>
      <c r="F489" s="6"/>
      <c r="G489" s="6"/>
    </row>
    <row r="490" spans="3:7" x14ac:dyDescent="0.25">
      <c r="C490" s="6"/>
      <c r="D490" s="6"/>
      <c r="E490" s="6"/>
      <c r="F490" s="6"/>
      <c r="G490" s="6"/>
    </row>
    <row r="491" spans="3:7" x14ac:dyDescent="0.25">
      <c r="C491" s="6"/>
      <c r="D491" s="6"/>
      <c r="E491" s="6"/>
      <c r="F491" s="6"/>
      <c r="G491" s="6"/>
    </row>
    <row r="492" spans="3:7" x14ac:dyDescent="0.25">
      <c r="C492" s="6"/>
      <c r="D492" s="6"/>
      <c r="E492" s="6"/>
      <c r="F492" s="6"/>
      <c r="G492" s="6"/>
    </row>
    <row r="493" spans="3:7" x14ac:dyDescent="0.25">
      <c r="C493" s="6"/>
      <c r="D493" s="6"/>
      <c r="E493" s="6"/>
      <c r="F493" s="6"/>
      <c r="G493" s="6"/>
    </row>
    <row r="494" spans="3:7" x14ac:dyDescent="0.25">
      <c r="C494" s="6"/>
      <c r="D494" s="6"/>
      <c r="E494" s="6"/>
      <c r="F494" s="6"/>
      <c r="G494" s="6"/>
    </row>
    <row r="495" spans="3:7" x14ac:dyDescent="0.25">
      <c r="C495" s="6"/>
      <c r="D495" s="6"/>
      <c r="E495" s="6"/>
      <c r="F495" s="6"/>
      <c r="G495" s="6"/>
    </row>
    <row r="496" spans="3:7" x14ac:dyDescent="0.25">
      <c r="C496" s="6"/>
      <c r="D496" s="6"/>
      <c r="E496" s="6"/>
      <c r="F496" s="6"/>
      <c r="G496" s="6"/>
    </row>
    <row r="497" spans="3:7" x14ac:dyDescent="0.25">
      <c r="C497" s="6"/>
      <c r="D497" s="6"/>
      <c r="E497" s="6"/>
      <c r="F497" s="6"/>
      <c r="G497" s="6"/>
    </row>
    <row r="498" spans="3:7" x14ac:dyDescent="0.25">
      <c r="C498" s="6"/>
      <c r="D498" s="6"/>
      <c r="E498" s="6"/>
      <c r="F498" s="6"/>
      <c r="G498" s="6"/>
    </row>
    <row r="499" spans="3:7" x14ac:dyDescent="0.25">
      <c r="C499" s="6"/>
      <c r="D499" s="6"/>
      <c r="E499" s="6"/>
      <c r="F499" s="6"/>
      <c r="G499" s="6"/>
    </row>
    <row r="500" spans="3:7" x14ac:dyDescent="0.25">
      <c r="C500" s="6"/>
      <c r="D500" s="6"/>
      <c r="E500" s="6"/>
      <c r="F500" s="6"/>
      <c r="G500" s="6"/>
    </row>
    <row r="501" spans="3:7" x14ac:dyDescent="0.25">
      <c r="C501" s="6"/>
      <c r="D501" s="6"/>
      <c r="E501" s="6"/>
      <c r="F501" s="6"/>
      <c r="G501" s="6"/>
    </row>
    <row r="502" spans="3:7" x14ac:dyDescent="0.25">
      <c r="C502" s="6"/>
      <c r="D502" s="6"/>
      <c r="E502" s="6"/>
      <c r="F502" s="6"/>
      <c r="G502" s="6"/>
    </row>
    <row r="503" spans="3:7" x14ac:dyDescent="0.25">
      <c r="C503" s="6"/>
      <c r="D503" s="6"/>
      <c r="E503" s="6"/>
      <c r="F503" s="6"/>
      <c r="G503" s="6"/>
    </row>
    <row r="504" spans="3:7" x14ac:dyDescent="0.25">
      <c r="C504" s="6"/>
      <c r="D504" s="6"/>
      <c r="E504" s="6"/>
      <c r="F504" s="6"/>
      <c r="G504" s="6"/>
    </row>
    <row r="505" spans="3:7" x14ac:dyDescent="0.25">
      <c r="C505" s="6"/>
      <c r="D505" s="6"/>
      <c r="E505" s="6"/>
      <c r="F505" s="6"/>
      <c r="G505" s="6"/>
    </row>
    <row r="506" spans="3:7" x14ac:dyDescent="0.25">
      <c r="C506" s="6"/>
      <c r="D506" s="6"/>
      <c r="E506" s="6"/>
      <c r="F506" s="6"/>
      <c r="G506" s="6"/>
    </row>
    <row r="507" spans="3:7" x14ac:dyDescent="0.25">
      <c r="C507" s="6"/>
      <c r="D507" s="6"/>
      <c r="E507" s="6"/>
      <c r="F507" s="6"/>
      <c r="G507" s="6"/>
    </row>
    <row r="508" spans="3:7" x14ac:dyDescent="0.25">
      <c r="C508" s="6"/>
      <c r="D508" s="6"/>
      <c r="E508" s="6"/>
      <c r="F508" s="6"/>
      <c r="G508" s="6"/>
    </row>
    <row r="509" spans="3:7" x14ac:dyDescent="0.25">
      <c r="C509" s="6"/>
      <c r="D509" s="6"/>
      <c r="E509" s="6"/>
      <c r="F509" s="6"/>
      <c r="G509" s="6"/>
    </row>
    <row r="510" spans="3:7" x14ac:dyDescent="0.25">
      <c r="C510" s="6"/>
      <c r="D510" s="6"/>
      <c r="E510" s="6"/>
      <c r="F510" s="6"/>
      <c r="G510" s="6"/>
    </row>
    <row r="511" spans="3:7" x14ac:dyDescent="0.25">
      <c r="C511" s="6"/>
      <c r="D511" s="6"/>
      <c r="E511" s="6"/>
      <c r="F511" s="6"/>
      <c r="G511" s="6"/>
    </row>
    <row r="512" spans="3:7" x14ac:dyDescent="0.25">
      <c r="C512" s="6"/>
      <c r="D512" s="6"/>
      <c r="E512" s="6"/>
      <c r="F512" s="6"/>
      <c r="G512" s="6"/>
    </row>
    <row r="513" spans="3:7" x14ac:dyDescent="0.25">
      <c r="C513" s="6"/>
      <c r="D513" s="6"/>
      <c r="E513" s="6"/>
      <c r="F513" s="6"/>
      <c r="G513" s="6"/>
    </row>
    <row r="514" spans="3:7" x14ac:dyDescent="0.25">
      <c r="C514" s="6"/>
      <c r="D514" s="6"/>
      <c r="E514" s="6"/>
      <c r="F514" s="6"/>
      <c r="G514" s="6"/>
    </row>
    <row r="515" spans="3:7" x14ac:dyDescent="0.25">
      <c r="C515" s="6"/>
      <c r="D515" s="6"/>
      <c r="E515" s="6"/>
      <c r="F515" s="6"/>
      <c r="G515" s="6"/>
    </row>
    <row r="516" spans="3:7" x14ac:dyDescent="0.25">
      <c r="C516" s="6"/>
      <c r="D516" s="6"/>
      <c r="E516" s="6"/>
      <c r="F516" s="6"/>
      <c r="G516" s="6"/>
    </row>
    <row r="517" spans="3:7" x14ac:dyDescent="0.25">
      <c r="C517" s="6"/>
      <c r="D517" s="6"/>
      <c r="E517" s="6"/>
      <c r="F517" s="6"/>
      <c r="G517" s="6"/>
    </row>
    <row r="518" spans="3:7" x14ac:dyDescent="0.25">
      <c r="C518" s="6"/>
      <c r="D518" s="6"/>
      <c r="E518" s="6"/>
      <c r="F518" s="6"/>
      <c r="G518" s="6"/>
    </row>
    <row r="519" spans="3:7" x14ac:dyDescent="0.25">
      <c r="C519" s="6"/>
      <c r="D519" s="6"/>
      <c r="E519" s="6"/>
      <c r="F519" s="6"/>
      <c r="G519" s="6"/>
    </row>
    <row r="520" spans="3:7" x14ac:dyDescent="0.25">
      <c r="C520" s="6"/>
      <c r="D520" s="6"/>
      <c r="E520" s="6"/>
      <c r="F520" s="6"/>
      <c r="G520" s="6"/>
    </row>
    <row r="521" spans="3:7" x14ac:dyDescent="0.25">
      <c r="C521" s="6"/>
      <c r="D521" s="6"/>
      <c r="E521" s="6"/>
      <c r="F521" s="6"/>
      <c r="G521" s="6"/>
    </row>
    <row r="522" spans="3:7" x14ac:dyDescent="0.25">
      <c r="C522" s="6"/>
      <c r="D522" s="6"/>
      <c r="E522" s="6"/>
      <c r="F522" s="6"/>
      <c r="G522" s="6"/>
    </row>
    <row r="523" spans="3:7" x14ac:dyDescent="0.25">
      <c r="C523" s="6"/>
      <c r="D523" s="6"/>
      <c r="E523" s="6"/>
      <c r="F523" s="6"/>
      <c r="G523" s="6"/>
    </row>
    <row r="524" spans="3:7" x14ac:dyDescent="0.25">
      <c r="C524" s="6"/>
      <c r="D524" s="6"/>
      <c r="E524" s="6"/>
      <c r="F524" s="6"/>
      <c r="G524" s="6"/>
    </row>
    <row r="525" spans="3:7" x14ac:dyDescent="0.25">
      <c r="C525" s="6"/>
      <c r="D525" s="6"/>
      <c r="E525" s="6"/>
      <c r="F525" s="6"/>
      <c r="G525" s="6"/>
    </row>
    <row r="526" spans="3:7" x14ac:dyDescent="0.25">
      <c r="C526" s="6"/>
      <c r="D526" s="6"/>
      <c r="E526" s="6"/>
      <c r="F526" s="6"/>
      <c r="G526" s="6"/>
    </row>
    <row r="527" spans="3:7" x14ac:dyDescent="0.25">
      <c r="C527" s="6"/>
      <c r="D527" s="6"/>
      <c r="E527" s="6"/>
      <c r="F527" s="6"/>
      <c r="G527" s="6"/>
    </row>
    <row r="528" spans="3:7" x14ac:dyDescent="0.25">
      <c r="C528" s="6"/>
      <c r="D528" s="6"/>
      <c r="E528" s="6"/>
      <c r="F528" s="6"/>
      <c r="G528" s="6"/>
    </row>
    <row r="529" spans="3:7" x14ac:dyDescent="0.25">
      <c r="C529" s="6"/>
      <c r="D529" s="6"/>
      <c r="E529" s="6"/>
      <c r="F529" s="6"/>
      <c r="G529" s="6"/>
    </row>
    <row r="530" spans="3:7" x14ac:dyDescent="0.25">
      <c r="C530" s="6"/>
      <c r="D530" s="6"/>
      <c r="E530" s="6"/>
      <c r="F530" s="6"/>
      <c r="G530" s="6"/>
    </row>
    <row r="531" spans="3:7" x14ac:dyDescent="0.25">
      <c r="C531" s="6"/>
      <c r="D531" s="6"/>
      <c r="E531" s="6"/>
      <c r="F531" s="6"/>
      <c r="G531" s="6"/>
    </row>
    <row r="532" spans="3:7" x14ac:dyDescent="0.25">
      <c r="C532" s="6"/>
      <c r="D532" s="6"/>
      <c r="E532" s="6"/>
      <c r="F532" s="6"/>
      <c r="G532" s="6"/>
    </row>
    <row r="533" spans="3:7" x14ac:dyDescent="0.25">
      <c r="C533" s="6"/>
      <c r="D533" s="6"/>
      <c r="E533" s="6"/>
      <c r="F533" s="6"/>
      <c r="G533" s="6"/>
    </row>
    <row r="534" spans="3:7" x14ac:dyDescent="0.25">
      <c r="C534" s="6"/>
      <c r="D534" s="6"/>
      <c r="E534" s="6"/>
      <c r="F534" s="6"/>
      <c r="G534" s="6"/>
    </row>
    <row r="535" spans="3:7" x14ac:dyDescent="0.25">
      <c r="C535" s="6"/>
      <c r="D535" s="6"/>
      <c r="E535" s="6"/>
      <c r="F535" s="6"/>
      <c r="G535" s="6"/>
    </row>
    <row r="536" spans="3:7" x14ac:dyDescent="0.25">
      <c r="C536" s="6"/>
      <c r="D536" s="6"/>
      <c r="E536" s="6"/>
      <c r="F536" s="6"/>
      <c r="G536" s="6"/>
    </row>
    <row r="537" spans="3:7" x14ac:dyDescent="0.25">
      <c r="C537" s="6"/>
      <c r="D537" s="6"/>
      <c r="E537" s="6"/>
      <c r="F537" s="6"/>
      <c r="G537" s="6"/>
    </row>
    <row r="538" spans="3:7" x14ac:dyDescent="0.25">
      <c r="C538" s="6"/>
      <c r="D538" s="6"/>
      <c r="E538" s="6"/>
      <c r="F538" s="6"/>
      <c r="G538" s="6"/>
    </row>
    <row r="539" spans="3:7" x14ac:dyDescent="0.25">
      <c r="C539" s="6"/>
      <c r="D539" s="6"/>
      <c r="E539" s="6"/>
      <c r="F539" s="6"/>
      <c r="G539" s="6"/>
    </row>
    <row r="540" spans="3:7" x14ac:dyDescent="0.25">
      <c r="C540" s="6"/>
      <c r="D540" s="6"/>
      <c r="E540" s="6"/>
      <c r="F540" s="6"/>
      <c r="G540" s="6"/>
    </row>
    <row r="541" spans="3:7" x14ac:dyDescent="0.25">
      <c r="C541" s="6"/>
      <c r="D541" s="6"/>
      <c r="E541" s="6"/>
      <c r="F541" s="6"/>
      <c r="G541" s="6"/>
    </row>
    <row r="542" spans="3:7" x14ac:dyDescent="0.25">
      <c r="C542" s="6"/>
      <c r="D542" s="6"/>
      <c r="E542" s="6"/>
      <c r="F542" s="6"/>
      <c r="G542" s="6"/>
    </row>
    <row r="543" spans="3:7" x14ac:dyDescent="0.25">
      <c r="C543" s="6"/>
      <c r="D543" s="6"/>
      <c r="E543" s="6"/>
      <c r="F543" s="6"/>
      <c r="G543" s="6"/>
    </row>
    <row r="544" spans="3:7" x14ac:dyDescent="0.25">
      <c r="C544" s="6"/>
      <c r="D544" s="6"/>
      <c r="E544" s="6"/>
      <c r="F544" s="6"/>
      <c r="G544" s="6"/>
    </row>
    <row r="545" spans="3:7" x14ac:dyDescent="0.25">
      <c r="C545" s="6"/>
      <c r="D545" s="6"/>
      <c r="E545" s="6"/>
      <c r="F545" s="6"/>
      <c r="G545" s="6"/>
    </row>
    <row r="546" spans="3:7" x14ac:dyDescent="0.25">
      <c r="C546" s="6"/>
      <c r="D546" s="6"/>
      <c r="E546" s="6"/>
      <c r="F546" s="6"/>
      <c r="G546" s="6"/>
    </row>
    <row r="547" spans="3:7" x14ac:dyDescent="0.25">
      <c r="C547" s="6"/>
      <c r="D547" s="6"/>
      <c r="E547" s="6"/>
      <c r="F547" s="6"/>
      <c r="G547" s="6"/>
    </row>
    <row r="548" spans="3:7" x14ac:dyDescent="0.25">
      <c r="C548" s="6"/>
      <c r="D548" s="6"/>
      <c r="E548" s="6"/>
      <c r="F548" s="6"/>
      <c r="G548" s="6"/>
    </row>
    <row r="549" spans="3:7" x14ac:dyDescent="0.25">
      <c r="C549" s="6"/>
      <c r="D549" s="6"/>
      <c r="E549" s="6"/>
      <c r="F549" s="6"/>
      <c r="G549" s="6"/>
    </row>
    <row r="550" spans="3:7" x14ac:dyDescent="0.25">
      <c r="C550" s="6"/>
      <c r="D550" s="6"/>
      <c r="E550" s="6"/>
      <c r="F550" s="6"/>
      <c r="G550" s="6"/>
    </row>
    <row r="551" spans="3:7" x14ac:dyDescent="0.25">
      <c r="C551" s="6"/>
      <c r="D551" s="6"/>
      <c r="E551" s="6"/>
      <c r="F551" s="6"/>
      <c r="G551" s="6"/>
    </row>
    <row r="552" spans="3:7" x14ac:dyDescent="0.25">
      <c r="C552" s="6"/>
      <c r="D552" s="6"/>
      <c r="E552" s="6"/>
      <c r="F552" s="6"/>
      <c r="G552" s="6"/>
    </row>
    <row r="553" spans="3:7" x14ac:dyDescent="0.25">
      <c r="C553" s="6"/>
      <c r="D553" s="6"/>
      <c r="E553" s="6"/>
      <c r="F553" s="6"/>
      <c r="G553" s="6"/>
    </row>
    <row r="554" spans="3:7" x14ac:dyDescent="0.25">
      <c r="C554" s="6"/>
      <c r="D554" s="6"/>
      <c r="E554" s="6"/>
      <c r="F554" s="6"/>
      <c r="G554" s="6"/>
    </row>
    <row r="555" spans="3:7" x14ac:dyDescent="0.25">
      <c r="C555" s="6"/>
      <c r="D555" s="6"/>
      <c r="E555" s="6"/>
      <c r="F555" s="6"/>
      <c r="G555" s="6"/>
    </row>
    <row r="556" spans="3:7" x14ac:dyDescent="0.25">
      <c r="C556" s="6"/>
      <c r="D556" s="6"/>
      <c r="E556" s="6"/>
      <c r="F556" s="6"/>
      <c r="G556" s="6"/>
    </row>
    <row r="557" spans="3:7" x14ac:dyDescent="0.25">
      <c r="C557" s="6"/>
      <c r="D557" s="6"/>
      <c r="E557" s="6"/>
      <c r="F557" s="6"/>
      <c r="G557" s="6"/>
    </row>
    <row r="558" spans="3:7" x14ac:dyDescent="0.25">
      <c r="C558" s="6"/>
      <c r="D558" s="6"/>
      <c r="E558" s="6"/>
      <c r="F558" s="6"/>
      <c r="G558" s="6"/>
    </row>
    <row r="559" spans="3:7" x14ac:dyDescent="0.25">
      <c r="C559" s="6"/>
      <c r="D559" s="6"/>
      <c r="E559" s="6"/>
      <c r="F559" s="6"/>
      <c r="G559" s="6"/>
    </row>
    <row r="560" spans="3:7" x14ac:dyDescent="0.25">
      <c r="C560" s="6"/>
      <c r="D560" s="6"/>
      <c r="E560" s="6"/>
      <c r="F560" s="6"/>
      <c r="G560" s="6"/>
    </row>
    <row r="561" spans="3:7" x14ac:dyDescent="0.25">
      <c r="C561" s="6"/>
      <c r="D561" s="6"/>
      <c r="E561" s="6"/>
      <c r="F561" s="6"/>
      <c r="G561" s="6"/>
    </row>
    <row r="562" spans="3:7" x14ac:dyDescent="0.25">
      <c r="C562" s="6"/>
      <c r="D562" s="6"/>
      <c r="E562" s="6"/>
      <c r="F562" s="6"/>
      <c r="G562" s="6"/>
    </row>
    <row r="563" spans="3:7" x14ac:dyDescent="0.25">
      <c r="C563" s="6"/>
      <c r="D563" s="6"/>
      <c r="E563" s="6"/>
      <c r="F563" s="6"/>
      <c r="G563" s="6"/>
    </row>
    <row r="564" spans="3:7" x14ac:dyDescent="0.25">
      <c r="C564" s="6"/>
      <c r="D564" s="6"/>
      <c r="E564" s="6"/>
      <c r="F564" s="6"/>
      <c r="G564" s="6"/>
    </row>
    <row r="565" spans="3:7" x14ac:dyDescent="0.25">
      <c r="C565" s="6"/>
      <c r="D565" s="6"/>
      <c r="E565" s="6"/>
      <c r="F565" s="6"/>
      <c r="G565" s="6"/>
    </row>
    <row r="566" spans="3:7" x14ac:dyDescent="0.25">
      <c r="C566" s="6"/>
      <c r="D566" s="6"/>
      <c r="E566" s="6"/>
      <c r="F566" s="6"/>
      <c r="G566" s="6"/>
    </row>
    <row r="567" spans="3:7" x14ac:dyDescent="0.25">
      <c r="C567" s="6"/>
      <c r="D567" s="6"/>
      <c r="E567" s="6"/>
      <c r="F567" s="6"/>
      <c r="G567" s="6"/>
    </row>
    <row r="568" spans="3:7" x14ac:dyDescent="0.25">
      <c r="C568" s="6"/>
      <c r="D568" s="6"/>
      <c r="E568" s="6"/>
      <c r="F568" s="6"/>
      <c r="G568" s="6"/>
    </row>
    <row r="569" spans="3:7" x14ac:dyDescent="0.25">
      <c r="C569" s="6"/>
      <c r="D569" s="6"/>
      <c r="E569" s="6"/>
      <c r="F569" s="6"/>
      <c r="G569" s="6"/>
    </row>
    <row r="570" spans="3:7" x14ac:dyDescent="0.25">
      <c r="C570" s="6"/>
      <c r="D570" s="6"/>
      <c r="E570" s="6"/>
      <c r="F570" s="6"/>
      <c r="G570" s="6"/>
    </row>
    <row r="571" spans="3:7" x14ac:dyDescent="0.25">
      <c r="C571" s="6"/>
      <c r="D571" s="6"/>
      <c r="E571" s="6"/>
      <c r="F571" s="6"/>
      <c r="G571" s="6"/>
    </row>
    <row r="572" spans="3:7" x14ac:dyDescent="0.25">
      <c r="C572" s="6"/>
      <c r="D572" s="6"/>
      <c r="E572" s="6"/>
      <c r="F572" s="6"/>
      <c r="G572" s="6"/>
    </row>
    <row r="573" spans="3:7" x14ac:dyDescent="0.25">
      <c r="C573" s="6"/>
      <c r="D573" s="6"/>
      <c r="E573" s="6"/>
      <c r="F573" s="6"/>
      <c r="G573" s="6"/>
    </row>
    <row r="574" spans="3:7" x14ac:dyDescent="0.25">
      <c r="C574" s="6"/>
      <c r="D574" s="6"/>
      <c r="E574" s="6"/>
      <c r="F574" s="6"/>
      <c r="G574" s="6"/>
    </row>
    <row r="575" spans="3:7" x14ac:dyDescent="0.25">
      <c r="C575" s="6"/>
      <c r="D575" s="6"/>
      <c r="E575" s="6"/>
      <c r="F575" s="6"/>
      <c r="G575" s="6"/>
    </row>
    <row r="576" spans="3:7" x14ac:dyDescent="0.25">
      <c r="C576" s="6"/>
      <c r="D576" s="6"/>
      <c r="E576" s="6"/>
      <c r="F576" s="6"/>
      <c r="G576" s="6"/>
    </row>
    <row r="577" spans="3:7" x14ac:dyDescent="0.25">
      <c r="C577" s="6"/>
      <c r="D577" s="6"/>
      <c r="E577" s="6"/>
      <c r="F577" s="6"/>
      <c r="G577" s="6"/>
    </row>
    <row r="578" spans="3:7" x14ac:dyDescent="0.25">
      <c r="C578" s="6"/>
      <c r="D578" s="6"/>
      <c r="E578" s="6"/>
      <c r="F578" s="6"/>
      <c r="G578" s="6"/>
    </row>
    <row r="579" spans="3:7" x14ac:dyDescent="0.25">
      <c r="C579" s="6"/>
      <c r="D579" s="6"/>
      <c r="E579" s="6"/>
      <c r="F579" s="6"/>
      <c r="G579" s="6"/>
    </row>
    <row r="580" spans="3:7" x14ac:dyDescent="0.25">
      <c r="C580" s="6"/>
      <c r="D580" s="6"/>
      <c r="E580" s="6"/>
      <c r="F580" s="6"/>
      <c r="G580" s="6"/>
    </row>
    <row r="581" spans="3:7" x14ac:dyDescent="0.25">
      <c r="C581" s="6"/>
      <c r="D581" s="6"/>
      <c r="E581" s="6"/>
      <c r="F581" s="6"/>
      <c r="G581" s="6"/>
    </row>
    <row r="582" spans="3:7" x14ac:dyDescent="0.25">
      <c r="C582" s="6"/>
      <c r="D582" s="6"/>
      <c r="E582" s="6"/>
      <c r="F582" s="6"/>
      <c r="G582" s="6"/>
    </row>
    <row r="583" spans="3:7" x14ac:dyDescent="0.25">
      <c r="C583" s="6"/>
      <c r="D583" s="6"/>
      <c r="E583" s="6"/>
      <c r="F583" s="6"/>
      <c r="G583" s="6"/>
    </row>
    <row r="584" spans="3:7" x14ac:dyDescent="0.25">
      <c r="C584" s="6"/>
      <c r="D584" s="6"/>
      <c r="E584" s="6"/>
      <c r="F584" s="6"/>
      <c r="G584" s="6"/>
    </row>
    <row r="585" spans="3:7" x14ac:dyDescent="0.25">
      <c r="C585" s="6"/>
      <c r="D585" s="6"/>
      <c r="E585" s="6"/>
      <c r="F585" s="6"/>
      <c r="G585" s="6"/>
    </row>
    <row r="586" spans="3:7" x14ac:dyDescent="0.25">
      <c r="C586" s="6"/>
      <c r="D586" s="6"/>
      <c r="E586" s="6"/>
      <c r="F586" s="6"/>
      <c r="G586" s="6"/>
    </row>
    <row r="587" spans="3:7" x14ac:dyDescent="0.25">
      <c r="C587" s="6"/>
      <c r="D587" s="6"/>
      <c r="E587" s="6"/>
      <c r="F587" s="6"/>
      <c r="G587" s="6"/>
    </row>
    <row r="588" spans="3:7" x14ac:dyDescent="0.25">
      <c r="C588" s="6"/>
      <c r="D588" s="6"/>
      <c r="E588" s="6"/>
      <c r="F588" s="6"/>
      <c r="G588" s="6"/>
    </row>
    <row r="589" spans="3:7" x14ac:dyDescent="0.25">
      <c r="C589" s="6"/>
      <c r="D589" s="6"/>
      <c r="E589" s="6"/>
      <c r="F589" s="6"/>
      <c r="G589" s="6"/>
    </row>
    <row r="590" spans="3:7" x14ac:dyDescent="0.25">
      <c r="C590" s="6"/>
      <c r="D590" s="6"/>
      <c r="E590" s="6"/>
      <c r="F590" s="6"/>
      <c r="G590" s="6"/>
    </row>
    <row r="591" spans="3:7" x14ac:dyDescent="0.25">
      <c r="C591" s="6"/>
      <c r="D591" s="6"/>
      <c r="E591" s="6"/>
      <c r="F591" s="6"/>
      <c r="G591" s="6"/>
    </row>
    <row r="592" spans="3:7" x14ac:dyDescent="0.25">
      <c r="C592" s="6"/>
      <c r="D592" s="6"/>
      <c r="E592" s="6"/>
      <c r="F592" s="6"/>
      <c r="G592" s="6"/>
    </row>
    <row r="593" spans="3:7" x14ac:dyDescent="0.25">
      <c r="C593" s="6"/>
      <c r="D593" s="6"/>
      <c r="E593" s="6"/>
      <c r="F593" s="6"/>
      <c r="G593" s="6"/>
    </row>
    <row r="594" spans="3:7" x14ac:dyDescent="0.25">
      <c r="C594" s="6"/>
      <c r="D594" s="6"/>
      <c r="E594" s="6"/>
      <c r="F594" s="6"/>
      <c r="G594" s="6"/>
    </row>
    <row r="595" spans="3:7" x14ac:dyDescent="0.25">
      <c r="C595" s="6"/>
      <c r="D595" s="6"/>
      <c r="E595" s="6"/>
      <c r="F595" s="6"/>
      <c r="G595" s="6"/>
    </row>
    <row r="596" spans="3:7" x14ac:dyDescent="0.25">
      <c r="C596" s="6"/>
      <c r="D596" s="6"/>
      <c r="E596" s="6"/>
      <c r="F596" s="6"/>
      <c r="G596" s="6"/>
    </row>
    <row r="597" spans="3:7" x14ac:dyDescent="0.25">
      <c r="C597" s="6"/>
      <c r="D597" s="6"/>
      <c r="E597" s="6"/>
      <c r="F597" s="6"/>
      <c r="G597" s="6"/>
    </row>
    <row r="598" spans="3:7" x14ac:dyDescent="0.25">
      <c r="C598" s="6"/>
      <c r="D598" s="6"/>
      <c r="E598" s="6"/>
      <c r="F598" s="6"/>
      <c r="G598" s="6"/>
    </row>
    <row r="599" spans="3:7" x14ac:dyDescent="0.25">
      <c r="C599" s="6"/>
      <c r="D599" s="6"/>
      <c r="E599" s="6"/>
      <c r="F599" s="6"/>
      <c r="G599" s="6"/>
    </row>
    <row r="600" spans="3:7" x14ac:dyDescent="0.25">
      <c r="C600" s="6"/>
      <c r="D600" s="6"/>
      <c r="E600" s="6"/>
      <c r="F600" s="6"/>
      <c r="G600" s="6"/>
    </row>
    <row r="601" spans="3:7" x14ac:dyDescent="0.25">
      <c r="C601" s="6"/>
      <c r="D601" s="6"/>
      <c r="E601" s="6"/>
      <c r="F601" s="6"/>
      <c r="G601" s="6"/>
    </row>
    <row r="602" spans="3:7" x14ac:dyDescent="0.25">
      <c r="C602" s="6"/>
      <c r="D602" s="6"/>
      <c r="E602" s="6"/>
      <c r="F602" s="6"/>
      <c r="G602" s="6"/>
    </row>
    <row r="603" spans="3:7" x14ac:dyDescent="0.25">
      <c r="C603" s="6"/>
      <c r="D603" s="6"/>
      <c r="E603" s="6"/>
      <c r="F603" s="6"/>
      <c r="G603" s="6"/>
    </row>
    <row r="604" spans="3:7" x14ac:dyDescent="0.25">
      <c r="C604" s="6"/>
      <c r="D604" s="6"/>
      <c r="E604" s="6"/>
      <c r="F604" s="6"/>
      <c r="G604" s="6"/>
    </row>
    <row r="605" spans="3:7" x14ac:dyDescent="0.25">
      <c r="C605" s="6"/>
      <c r="D605" s="6"/>
      <c r="E605" s="6"/>
      <c r="F605" s="6"/>
      <c r="G605" s="6"/>
    </row>
    <row r="606" spans="3:7" x14ac:dyDescent="0.25">
      <c r="C606" s="6"/>
      <c r="D606" s="6"/>
      <c r="E606" s="6"/>
      <c r="F606" s="6"/>
      <c r="G606" s="6"/>
    </row>
    <row r="607" spans="3:7" x14ac:dyDescent="0.25">
      <c r="C607" s="6"/>
      <c r="D607" s="6"/>
      <c r="E607" s="6"/>
      <c r="F607" s="6"/>
      <c r="G607" s="6"/>
    </row>
    <row r="608" spans="3:7" x14ac:dyDescent="0.25">
      <c r="C608" s="6"/>
      <c r="D608" s="6"/>
      <c r="E608" s="6"/>
      <c r="F608" s="6"/>
      <c r="G608" s="6"/>
    </row>
    <row r="609" spans="3:7" x14ac:dyDescent="0.25">
      <c r="C609" s="6"/>
      <c r="D609" s="6"/>
      <c r="E609" s="6"/>
      <c r="F609" s="6"/>
      <c r="G609" s="6"/>
    </row>
    <row r="610" spans="3:7" x14ac:dyDescent="0.25">
      <c r="C610" s="6"/>
      <c r="D610" s="6"/>
      <c r="E610" s="6"/>
      <c r="F610" s="6"/>
      <c r="G610" s="6"/>
    </row>
    <row r="611" spans="3:7" x14ac:dyDescent="0.25">
      <c r="C611" s="6"/>
      <c r="D611" s="6"/>
      <c r="E611" s="6"/>
      <c r="F611" s="6"/>
      <c r="G611" s="6"/>
    </row>
    <row r="612" spans="3:7" x14ac:dyDescent="0.25">
      <c r="C612" s="6"/>
      <c r="D612" s="6"/>
      <c r="E612" s="6"/>
      <c r="F612" s="6"/>
      <c r="G612" s="6"/>
    </row>
    <row r="613" spans="3:7" x14ac:dyDescent="0.25">
      <c r="C613" s="6"/>
      <c r="D613" s="6"/>
      <c r="E613" s="6"/>
      <c r="F613" s="6"/>
      <c r="G613" s="6"/>
    </row>
    <row r="614" spans="3:7" x14ac:dyDescent="0.25">
      <c r="C614" s="6"/>
      <c r="D614" s="6"/>
      <c r="E614" s="6"/>
      <c r="F614" s="6"/>
      <c r="G614" s="6"/>
    </row>
    <row r="615" spans="3:7" x14ac:dyDescent="0.25">
      <c r="C615" s="6"/>
      <c r="D615" s="6"/>
      <c r="E615" s="6"/>
      <c r="F615" s="6"/>
      <c r="G615" s="6"/>
    </row>
    <row r="616" spans="3:7" x14ac:dyDescent="0.25">
      <c r="C616" s="6"/>
      <c r="D616" s="6"/>
      <c r="E616" s="6"/>
      <c r="F616" s="6"/>
      <c r="G616" s="6"/>
    </row>
    <row r="617" spans="3:7" x14ac:dyDescent="0.25">
      <c r="C617" s="6"/>
      <c r="D617" s="6"/>
      <c r="E617" s="6"/>
      <c r="F617" s="6"/>
      <c r="G617" s="6"/>
    </row>
    <row r="618" spans="3:7" x14ac:dyDescent="0.25">
      <c r="C618" s="6"/>
      <c r="D618" s="6"/>
      <c r="E618" s="6"/>
      <c r="F618" s="6"/>
      <c r="G618" s="6"/>
    </row>
    <row r="619" spans="3:7" x14ac:dyDescent="0.25">
      <c r="C619" s="6"/>
      <c r="D619" s="6"/>
      <c r="E619" s="6"/>
      <c r="F619" s="6"/>
      <c r="G619" s="6"/>
    </row>
    <row r="620" spans="3:7" x14ac:dyDescent="0.25">
      <c r="C620" s="6"/>
      <c r="D620" s="6"/>
      <c r="E620" s="6"/>
      <c r="F620" s="6"/>
      <c r="G620" s="6"/>
    </row>
    <row r="621" spans="3:7" x14ac:dyDescent="0.25">
      <c r="C621" s="6"/>
      <c r="D621" s="6"/>
      <c r="E621" s="6"/>
      <c r="F621" s="6"/>
      <c r="G621" s="6"/>
    </row>
    <row r="622" spans="3:7" x14ac:dyDescent="0.25">
      <c r="C622" s="6"/>
      <c r="D622" s="6"/>
      <c r="E622" s="6"/>
      <c r="F622" s="6"/>
      <c r="G622" s="6"/>
    </row>
    <row r="623" spans="3:7" x14ac:dyDescent="0.25">
      <c r="C623" s="6"/>
      <c r="D623" s="6"/>
      <c r="E623" s="6"/>
      <c r="F623" s="6"/>
      <c r="G623" s="6"/>
    </row>
    <row r="624" spans="3:7" x14ac:dyDescent="0.25">
      <c r="C624" s="6"/>
      <c r="D624" s="6"/>
      <c r="E624" s="6"/>
      <c r="F624" s="6"/>
      <c r="G624" s="6"/>
    </row>
    <row r="625" spans="3:7" x14ac:dyDescent="0.25">
      <c r="C625" s="6"/>
      <c r="D625" s="6"/>
      <c r="E625" s="6"/>
      <c r="F625" s="6"/>
      <c r="G625" s="6"/>
    </row>
    <row r="626" spans="3:7" x14ac:dyDescent="0.25">
      <c r="C626" s="6"/>
      <c r="D626" s="6"/>
      <c r="E626" s="6"/>
      <c r="F626" s="6"/>
      <c r="G626" s="6"/>
    </row>
    <row r="627" spans="3:7" x14ac:dyDescent="0.25">
      <c r="C627" s="6"/>
      <c r="D627" s="6"/>
      <c r="E627" s="6"/>
      <c r="F627" s="6"/>
      <c r="G627" s="6"/>
    </row>
    <row r="628" spans="3:7" x14ac:dyDescent="0.25">
      <c r="C628" s="6"/>
      <c r="D628" s="6"/>
      <c r="E628" s="6"/>
      <c r="F628" s="6"/>
      <c r="G628" s="6"/>
    </row>
    <row r="629" spans="3:7" x14ac:dyDescent="0.25">
      <c r="C629" s="6"/>
      <c r="D629" s="6"/>
      <c r="E629" s="6"/>
      <c r="F629" s="6"/>
      <c r="G629" s="6"/>
    </row>
    <row r="630" spans="3:7" x14ac:dyDescent="0.25">
      <c r="C630" s="6"/>
      <c r="D630" s="6"/>
      <c r="E630" s="6"/>
      <c r="F630" s="6"/>
      <c r="G630" s="6"/>
    </row>
    <row r="631" spans="3:7" x14ac:dyDescent="0.25">
      <c r="C631" s="6"/>
      <c r="D631" s="6"/>
      <c r="E631" s="6"/>
      <c r="F631" s="6"/>
      <c r="G631" s="6"/>
    </row>
    <row r="632" spans="3:7" x14ac:dyDescent="0.25">
      <c r="C632" s="6"/>
      <c r="D632" s="6"/>
      <c r="E632" s="6"/>
      <c r="F632" s="6"/>
      <c r="G632" s="6"/>
    </row>
    <row r="633" spans="3:7" x14ac:dyDescent="0.25">
      <c r="C633" s="6"/>
      <c r="D633" s="6"/>
      <c r="E633" s="6"/>
      <c r="F633" s="6"/>
      <c r="G633" s="6"/>
    </row>
    <row r="634" spans="3:7" x14ac:dyDescent="0.25">
      <c r="C634" s="6"/>
      <c r="D634" s="6"/>
      <c r="E634" s="6"/>
      <c r="F634" s="6"/>
      <c r="G634" s="6"/>
    </row>
    <row r="635" spans="3:7" x14ac:dyDescent="0.25">
      <c r="C635" s="6"/>
      <c r="D635" s="6"/>
      <c r="E635" s="6"/>
      <c r="F635" s="6"/>
      <c r="G635" s="6"/>
    </row>
    <row r="636" spans="3:7" x14ac:dyDescent="0.25">
      <c r="C636" s="6"/>
      <c r="D636" s="6"/>
      <c r="E636" s="6"/>
      <c r="F636" s="6"/>
      <c r="G636" s="6"/>
    </row>
    <row r="637" spans="3:7" x14ac:dyDescent="0.25">
      <c r="C637" s="6"/>
      <c r="D637" s="6"/>
      <c r="E637" s="6"/>
      <c r="F637" s="6"/>
      <c r="G637" s="6"/>
    </row>
    <row r="638" spans="3:7" x14ac:dyDescent="0.25">
      <c r="C638" s="6"/>
      <c r="D638" s="6"/>
      <c r="E638" s="6"/>
      <c r="F638" s="6"/>
      <c r="G638" s="6"/>
    </row>
    <row r="639" spans="3:7" x14ac:dyDescent="0.25">
      <c r="C639" s="6"/>
      <c r="D639" s="6"/>
      <c r="E639" s="6"/>
      <c r="F639" s="6"/>
      <c r="G639" s="6"/>
    </row>
    <row r="640" spans="3:7" x14ac:dyDescent="0.25">
      <c r="C640" s="6"/>
      <c r="D640" s="6"/>
      <c r="E640" s="6"/>
      <c r="F640" s="6"/>
      <c r="G640" s="6"/>
    </row>
    <row r="641" spans="3:7" x14ac:dyDescent="0.25">
      <c r="C641" s="6"/>
      <c r="D641" s="6"/>
      <c r="E641" s="6"/>
      <c r="F641" s="6"/>
      <c r="G641" s="6"/>
    </row>
    <row r="642" spans="3:7" x14ac:dyDescent="0.25">
      <c r="C642" s="6"/>
      <c r="D642" s="6"/>
      <c r="E642" s="6"/>
      <c r="F642" s="6"/>
      <c r="G642" s="6"/>
    </row>
    <row r="643" spans="3:7" x14ac:dyDescent="0.25">
      <c r="C643" s="6"/>
      <c r="D643" s="6"/>
      <c r="E643" s="6"/>
      <c r="F643" s="6"/>
      <c r="G643" s="6"/>
    </row>
    <row r="644" spans="3:7" x14ac:dyDescent="0.25">
      <c r="C644" s="6"/>
      <c r="D644" s="6"/>
      <c r="E644" s="6"/>
      <c r="F644" s="6"/>
      <c r="G644" s="6"/>
    </row>
    <row r="645" spans="3:7" x14ac:dyDescent="0.25">
      <c r="C645" s="6"/>
      <c r="D645" s="6"/>
      <c r="E645" s="6"/>
      <c r="F645" s="6"/>
      <c r="G645" s="6"/>
    </row>
    <row r="646" spans="3:7" x14ac:dyDescent="0.25">
      <c r="C646" s="6"/>
      <c r="D646" s="6"/>
      <c r="E646" s="6"/>
      <c r="F646" s="6"/>
      <c r="G646" s="6"/>
    </row>
    <row r="647" spans="3:7" x14ac:dyDescent="0.25">
      <c r="C647" s="6"/>
      <c r="D647" s="6"/>
      <c r="E647" s="6"/>
      <c r="F647" s="6"/>
      <c r="G647" s="6"/>
    </row>
    <row r="648" spans="3:7" x14ac:dyDescent="0.25">
      <c r="C648" s="6"/>
      <c r="D648" s="6"/>
      <c r="E648" s="6"/>
      <c r="F648" s="6"/>
      <c r="G648" s="6"/>
    </row>
    <row r="649" spans="3:7" x14ac:dyDescent="0.25">
      <c r="C649" s="6"/>
      <c r="D649" s="6"/>
      <c r="E649" s="6"/>
      <c r="F649" s="6"/>
      <c r="G649" s="6"/>
    </row>
    <row r="650" spans="3:7" x14ac:dyDescent="0.25">
      <c r="C650" s="6"/>
      <c r="D650" s="6"/>
      <c r="E650" s="6"/>
      <c r="F650" s="6"/>
      <c r="G650" s="6"/>
    </row>
    <row r="651" spans="3:7" x14ac:dyDescent="0.25">
      <c r="C651" s="6"/>
      <c r="D651" s="6"/>
      <c r="E651" s="6"/>
      <c r="F651" s="6"/>
      <c r="G651" s="6"/>
    </row>
    <row r="652" spans="3:7" x14ac:dyDescent="0.25">
      <c r="C652" s="6"/>
      <c r="D652" s="6"/>
      <c r="E652" s="6"/>
      <c r="F652" s="6"/>
      <c r="G652" s="6"/>
    </row>
    <row r="653" spans="3:7" x14ac:dyDescent="0.25">
      <c r="C653" s="6"/>
      <c r="D653" s="6"/>
      <c r="E653" s="6"/>
      <c r="F653" s="6"/>
      <c r="G653" s="6"/>
    </row>
    <row r="654" spans="3:7" x14ac:dyDescent="0.25">
      <c r="C654" s="6"/>
      <c r="D654" s="6"/>
      <c r="E654" s="6"/>
      <c r="F654" s="6"/>
      <c r="G654" s="6"/>
    </row>
    <row r="655" spans="3:7" x14ac:dyDescent="0.25">
      <c r="C655" s="6"/>
      <c r="D655" s="6"/>
      <c r="E655" s="6"/>
      <c r="F655" s="6"/>
      <c r="G655" s="6"/>
    </row>
    <row r="656" spans="3:7" x14ac:dyDescent="0.25">
      <c r="C656" s="6"/>
      <c r="D656" s="6"/>
      <c r="E656" s="6"/>
      <c r="F656" s="6"/>
      <c r="G656" s="6"/>
    </row>
    <row r="657" spans="3:7" x14ac:dyDescent="0.25">
      <c r="C657" s="6"/>
      <c r="D657" s="6"/>
      <c r="E657" s="6"/>
      <c r="F657" s="6"/>
      <c r="G657" s="6"/>
    </row>
    <row r="658" spans="3:7" x14ac:dyDescent="0.25">
      <c r="C658" s="6"/>
      <c r="D658" s="6"/>
      <c r="E658" s="6"/>
      <c r="F658" s="6"/>
      <c r="G658" s="6"/>
    </row>
    <row r="659" spans="3:7" x14ac:dyDescent="0.25">
      <c r="C659" s="6"/>
      <c r="D659" s="6"/>
      <c r="E659" s="6"/>
      <c r="F659" s="6"/>
      <c r="G659" s="6"/>
    </row>
    <row r="660" spans="3:7" x14ac:dyDescent="0.25">
      <c r="C660" s="6"/>
      <c r="D660" s="6"/>
      <c r="E660" s="6"/>
      <c r="F660" s="6"/>
      <c r="G660" s="6"/>
    </row>
    <row r="661" spans="3:7" x14ac:dyDescent="0.25">
      <c r="C661" s="6"/>
      <c r="D661" s="6"/>
      <c r="E661" s="6"/>
      <c r="F661" s="6"/>
      <c r="G661" s="6"/>
    </row>
    <row r="662" spans="3:7" x14ac:dyDescent="0.25">
      <c r="C662" s="6"/>
      <c r="D662" s="6"/>
      <c r="E662" s="6"/>
      <c r="F662" s="6"/>
      <c r="G662" s="6"/>
    </row>
    <row r="663" spans="3:7" x14ac:dyDescent="0.25">
      <c r="C663" s="6"/>
      <c r="D663" s="6"/>
      <c r="E663" s="6"/>
      <c r="F663" s="6"/>
      <c r="G663" s="6"/>
    </row>
    <row r="664" spans="3:7" x14ac:dyDescent="0.25">
      <c r="C664" s="6"/>
      <c r="D664" s="6"/>
      <c r="E664" s="6"/>
      <c r="F664" s="6"/>
      <c r="G664" s="6"/>
    </row>
    <row r="665" spans="3:7" x14ac:dyDescent="0.25">
      <c r="C665" s="6"/>
      <c r="D665" s="6"/>
      <c r="E665" s="6"/>
      <c r="F665" s="6"/>
      <c r="G665" s="6"/>
    </row>
    <row r="666" spans="3:7" x14ac:dyDescent="0.25">
      <c r="C666" s="6"/>
      <c r="D666" s="6"/>
      <c r="E666" s="6"/>
      <c r="F666" s="6"/>
      <c r="G666" s="6"/>
    </row>
    <row r="667" spans="3:7" x14ac:dyDescent="0.25">
      <c r="C667" s="6"/>
      <c r="D667" s="6"/>
      <c r="E667" s="6"/>
      <c r="F667" s="6"/>
      <c r="G667" s="6"/>
    </row>
    <row r="668" spans="3:7" x14ac:dyDescent="0.25">
      <c r="C668" s="6"/>
      <c r="D668" s="6"/>
      <c r="E668" s="6"/>
      <c r="F668" s="6"/>
      <c r="G668" s="6"/>
    </row>
    <row r="669" spans="3:7" x14ac:dyDescent="0.25">
      <c r="C669" s="6"/>
      <c r="D669" s="6"/>
      <c r="E669" s="6"/>
      <c r="F669" s="6"/>
      <c r="G669" s="6"/>
    </row>
    <row r="670" spans="3:7" x14ac:dyDescent="0.25">
      <c r="C670" s="6"/>
      <c r="D670" s="6"/>
      <c r="E670" s="6"/>
      <c r="F670" s="6"/>
      <c r="G670" s="6"/>
    </row>
    <row r="671" spans="3:7" x14ac:dyDescent="0.25">
      <c r="C671" s="6"/>
      <c r="D671" s="6"/>
      <c r="E671" s="6"/>
      <c r="F671" s="6"/>
      <c r="G671" s="6"/>
    </row>
    <row r="672" spans="3:7" x14ac:dyDescent="0.25">
      <c r="C672" s="6"/>
      <c r="D672" s="6"/>
      <c r="E672" s="6"/>
      <c r="F672" s="6"/>
      <c r="G672" s="6"/>
    </row>
    <row r="673" spans="3:7" x14ac:dyDescent="0.25">
      <c r="C673" s="6"/>
      <c r="D673" s="6"/>
      <c r="E673" s="6"/>
      <c r="F673" s="6"/>
      <c r="G673" s="6"/>
    </row>
    <row r="674" spans="3:7" x14ac:dyDescent="0.25">
      <c r="C674" s="6"/>
      <c r="D674" s="6"/>
      <c r="E674" s="6"/>
      <c r="F674" s="6"/>
      <c r="G674" s="6"/>
    </row>
    <row r="675" spans="3:7" x14ac:dyDescent="0.25">
      <c r="C675" s="6"/>
      <c r="D675" s="6"/>
      <c r="E675" s="6"/>
      <c r="F675" s="6"/>
      <c r="G675" s="6"/>
    </row>
    <row r="676" spans="3:7" x14ac:dyDescent="0.25">
      <c r="C676" s="6"/>
      <c r="D676" s="6"/>
      <c r="E676" s="6"/>
      <c r="F676" s="6"/>
      <c r="G676" s="6"/>
    </row>
    <row r="677" spans="3:7" x14ac:dyDescent="0.25">
      <c r="C677" s="6"/>
      <c r="D677" s="6"/>
      <c r="E677" s="6"/>
      <c r="F677" s="6"/>
      <c r="G677" s="6"/>
    </row>
    <row r="678" spans="3:7" x14ac:dyDescent="0.25">
      <c r="C678" s="6"/>
      <c r="D678" s="6"/>
      <c r="E678" s="6"/>
      <c r="F678" s="6"/>
      <c r="G678" s="6"/>
    </row>
    <row r="679" spans="3:7" x14ac:dyDescent="0.25">
      <c r="C679" s="6"/>
      <c r="D679" s="6"/>
      <c r="E679" s="6"/>
      <c r="F679" s="6"/>
      <c r="G679" s="6"/>
    </row>
    <row r="680" spans="3:7" x14ac:dyDescent="0.25">
      <c r="C680" s="6"/>
      <c r="D680" s="6"/>
      <c r="E680" s="6"/>
      <c r="F680" s="6"/>
      <c r="G680" s="6"/>
    </row>
    <row r="681" spans="3:7" x14ac:dyDescent="0.25">
      <c r="C681" s="6"/>
      <c r="D681" s="6"/>
      <c r="E681" s="6"/>
      <c r="F681" s="6"/>
      <c r="G681" s="6"/>
    </row>
    <row r="682" spans="3:7" x14ac:dyDescent="0.25">
      <c r="C682" s="6"/>
      <c r="D682" s="6"/>
      <c r="E682" s="6"/>
      <c r="F682" s="6"/>
      <c r="G682" s="6"/>
    </row>
    <row r="683" spans="3:7" x14ac:dyDescent="0.25">
      <c r="C683" s="6"/>
      <c r="D683" s="6"/>
      <c r="E683" s="6"/>
      <c r="F683" s="6"/>
      <c r="G683" s="6"/>
    </row>
    <row r="684" spans="3:7" x14ac:dyDescent="0.25">
      <c r="C684" s="6"/>
      <c r="D684" s="6"/>
      <c r="E684" s="6"/>
      <c r="F684" s="6"/>
      <c r="G684" s="6"/>
    </row>
    <row r="685" spans="3:7" x14ac:dyDescent="0.25">
      <c r="C685" s="6"/>
      <c r="D685" s="6"/>
      <c r="E685" s="6"/>
      <c r="F685" s="6"/>
      <c r="G685" s="6"/>
    </row>
    <row r="686" spans="3:7" x14ac:dyDescent="0.25">
      <c r="C686" s="6"/>
      <c r="D686" s="6"/>
      <c r="E686" s="6"/>
      <c r="F686" s="6"/>
      <c r="G686" s="6"/>
    </row>
    <row r="687" spans="3:7" x14ac:dyDescent="0.25">
      <c r="C687" s="6"/>
      <c r="D687" s="6"/>
      <c r="E687" s="6"/>
      <c r="F687" s="6"/>
      <c r="G687" s="6"/>
    </row>
    <row r="688" spans="3:7" x14ac:dyDescent="0.25">
      <c r="C688" s="6"/>
      <c r="D688" s="6"/>
      <c r="E688" s="6"/>
      <c r="F688" s="6"/>
      <c r="G688" s="6"/>
    </row>
    <row r="689" spans="3:7" x14ac:dyDescent="0.25">
      <c r="C689" s="6"/>
      <c r="D689" s="6"/>
      <c r="E689" s="6"/>
      <c r="F689" s="6"/>
      <c r="G689" s="6"/>
    </row>
    <row r="690" spans="3:7" x14ac:dyDescent="0.25">
      <c r="C690" s="6"/>
      <c r="D690" s="6"/>
      <c r="E690" s="6"/>
      <c r="F690" s="6"/>
      <c r="G690" s="6"/>
    </row>
    <row r="691" spans="3:7" x14ac:dyDescent="0.25">
      <c r="C691" s="6"/>
      <c r="D691" s="6"/>
      <c r="E691" s="6"/>
      <c r="F691" s="6"/>
      <c r="G691" s="6"/>
    </row>
    <row r="692" spans="3:7" x14ac:dyDescent="0.25">
      <c r="C692" s="6"/>
      <c r="D692" s="6"/>
      <c r="E692" s="6"/>
      <c r="F692" s="6"/>
      <c r="G692" s="6"/>
    </row>
    <row r="693" spans="3:7" x14ac:dyDescent="0.25">
      <c r="C693" s="6"/>
      <c r="D693" s="6"/>
      <c r="E693" s="6"/>
      <c r="F693" s="6"/>
      <c r="G693" s="6"/>
    </row>
    <row r="694" spans="3:7" x14ac:dyDescent="0.25">
      <c r="C694" s="6"/>
      <c r="D694" s="6"/>
      <c r="E694" s="6"/>
      <c r="F694" s="6"/>
      <c r="G694" s="6"/>
    </row>
    <row r="695" spans="3:7" x14ac:dyDescent="0.25">
      <c r="C695" s="6"/>
      <c r="D695" s="6"/>
      <c r="E695" s="6"/>
      <c r="F695" s="6"/>
      <c r="G695" s="6"/>
    </row>
    <row r="696" spans="3:7" x14ac:dyDescent="0.25">
      <c r="C696" s="6"/>
      <c r="D696" s="6"/>
      <c r="E696" s="6"/>
      <c r="F696" s="6"/>
      <c r="G696" s="6"/>
    </row>
    <row r="697" spans="3:7" x14ac:dyDescent="0.25">
      <c r="C697" s="6"/>
      <c r="D697" s="6"/>
      <c r="E697" s="6"/>
      <c r="F697" s="6"/>
      <c r="G697" s="6"/>
    </row>
    <row r="698" spans="3:7" x14ac:dyDescent="0.25">
      <c r="C698" s="6"/>
      <c r="D698" s="6"/>
      <c r="E698" s="6"/>
      <c r="F698" s="6"/>
      <c r="G698" s="6"/>
    </row>
    <row r="699" spans="3:7" x14ac:dyDescent="0.25">
      <c r="C699" s="6"/>
      <c r="D699" s="6"/>
      <c r="E699" s="6"/>
      <c r="F699" s="6"/>
      <c r="G699" s="6"/>
    </row>
    <row r="700" spans="3:7" x14ac:dyDescent="0.25">
      <c r="C700" s="6"/>
      <c r="D700" s="6"/>
      <c r="E700" s="6"/>
      <c r="F700" s="6"/>
      <c r="G700" s="6"/>
    </row>
    <row r="701" spans="3:7" x14ac:dyDescent="0.25">
      <c r="C701" s="6"/>
      <c r="D701" s="6"/>
      <c r="E701" s="6"/>
      <c r="F701" s="6"/>
      <c r="G701" s="6"/>
    </row>
    <row r="702" spans="3:7" x14ac:dyDescent="0.25">
      <c r="C702" s="6"/>
      <c r="D702" s="6"/>
      <c r="E702" s="6"/>
      <c r="F702" s="6"/>
      <c r="G702" s="6"/>
    </row>
    <row r="703" spans="3:7" x14ac:dyDescent="0.25">
      <c r="C703" s="6"/>
      <c r="D703" s="6"/>
      <c r="E703" s="6"/>
      <c r="F703" s="6"/>
      <c r="G703" s="6"/>
    </row>
    <row r="704" spans="3:7" x14ac:dyDescent="0.25">
      <c r="C704" s="6"/>
      <c r="D704" s="6"/>
      <c r="E704" s="6"/>
      <c r="F704" s="6"/>
      <c r="G704" s="6"/>
    </row>
    <row r="705" spans="3:7" x14ac:dyDescent="0.25">
      <c r="C705" s="6"/>
      <c r="D705" s="6"/>
      <c r="E705" s="6"/>
      <c r="F705" s="6"/>
      <c r="G705" s="6"/>
    </row>
    <row r="706" spans="3:7" x14ac:dyDescent="0.25">
      <c r="C706" s="6"/>
      <c r="D706" s="6"/>
      <c r="E706" s="6"/>
      <c r="F706" s="6"/>
      <c r="G706" s="6"/>
    </row>
    <row r="707" spans="3:7" x14ac:dyDescent="0.25">
      <c r="C707" s="6"/>
      <c r="D707" s="6"/>
      <c r="E707" s="6"/>
      <c r="F707" s="6"/>
      <c r="G707" s="6"/>
    </row>
    <row r="708" spans="3:7" x14ac:dyDescent="0.25">
      <c r="C708" s="6"/>
      <c r="D708" s="6"/>
      <c r="E708" s="6"/>
      <c r="F708" s="6"/>
      <c r="G708" s="6"/>
    </row>
    <row r="709" spans="3:7" x14ac:dyDescent="0.25">
      <c r="C709" s="6"/>
      <c r="D709" s="6"/>
      <c r="E709" s="6"/>
      <c r="F709" s="6"/>
      <c r="G709" s="6"/>
    </row>
    <row r="710" spans="3:7" x14ac:dyDescent="0.25">
      <c r="C710" s="6"/>
      <c r="D710" s="6"/>
      <c r="E710" s="6"/>
      <c r="F710" s="6"/>
      <c r="G710" s="6"/>
    </row>
    <row r="711" spans="3:7" x14ac:dyDescent="0.25">
      <c r="C711" s="6"/>
      <c r="D711" s="6"/>
      <c r="E711" s="6"/>
      <c r="F711" s="6"/>
      <c r="G711" s="6"/>
    </row>
    <row r="712" spans="3:7" x14ac:dyDescent="0.25">
      <c r="C712" s="6"/>
      <c r="D712" s="6"/>
      <c r="E712" s="6"/>
      <c r="F712" s="6"/>
      <c r="G712" s="6"/>
    </row>
    <row r="713" spans="3:7" x14ac:dyDescent="0.25">
      <c r="C713" s="6"/>
      <c r="D713" s="6"/>
      <c r="E713" s="6"/>
      <c r="F713" s="6"/>
      <c r="G713" s="6"/>
    </row>
    <row r="714" spans="3:7" x14ac:dyDescent="0.25">
      <c r="C714" s="6"/>
      <c r="D714" s="6"/>
      <c r="E714" s="6"/>
      <c r="F714" s="6"/>
      <c r="G714" s="6"/>
    </row>
    <row r="715" spans="3:7" x14ac:dyDescent="0.25">
      <c r="C715" s="6"/>
      <c r="D715" s="6"/>
      <c r="E715" s="6"/>
      <c r="F715" s="6"/>
      <c r="G715" s="6"/>
    </row>
    <row r="716" spans="3:7" x14ac:dyDescent="0.25">
      <c r="C716" s="6"/>
      <c r="D716" s="6"/>
      <c r="E716" s="6"/>
      <c r="F716" s="6"/>
      <c r="G716" s="6"/>
    </row>
    <row r="717" spans="3:7" x14ac:dyDescent="0.25">
      <c r="C717" s="6"/>
      <c r="D717" s="6"/>
      <c r="E717" s="6"/>
      <c r="F717" s="6"/>
      <c r="G717" s="6"/>
    </row>
    <row r="718" spans="3:7" x14ac:dyDescent="0.25">
      <c r="C718" s="6"/>
      <c r="D718" s="6"/>
      <c r="E718" s="6"/>
      <c r="F718" s="6"/>
      <c r="G718" s="6"/>
    </row>
    <row r="719" spans="3:7" x14ac:dyDescent="0.25">
      <c r="C719" s="6"/>
      <c r="D719" s="6"/>
      <c r="E719" s="6"/>
      <c r="F719" s="6"/>
      <c r="G719" s="6"/>
    </row>
    <row r="720" spans="3:7" x14ac:dyDescent="0.25">
      <c r="C720" s="6"/>
      <c r="D720" s="6"/>
      <c r="E720" s="6"/>
      <c r="F720" s="6"/>
      <c r="G720" s="6"/>
    </row>
    <row r="721" spans="3:7" x14ac:dyDescent="0.25">
      <c r="C721" s="6"/>
      <c r="D721" s="6"/>
      <c r="E721" s="6"/>
      <c r="F721" s="6"/>
      <c r="G721" s="6"/>
    </row>
    <row r="722" spans="3:7" x14ac:dyDescent="0.25">
      <c r="C722" s="6"/>
      <c r="D722" s="6"/>
      <c r="E722" s="6"/>
      <c r="F722" s="6"/>
      <c r="G722" s="6"/>
    </row>
    <row r="723" spans="3:7" x14ac:dyDescent="0.25">
      <c r="C723" s="6"/>
      <c r="D723" s="6"/>
      <c r="E723" s="6"/>
      <c r="F723" s="6"/>
      <c r="G723" s="6"/>
    </row>
    <row r="724" spans="3:7" x14ac:dyDescent="0.25">
      <c r="C724" s="6"/>
      <c r="D724" s="6"/>
      <c r="E724" s="6"/>
      <c r="F724" s="6"/>
      <c r="G724" s="6"/>
    </row>
    <row r="725" spans="3:7" x14ac:dyDescent="0.25">
      <c r="C725" s="6"/>
      <c r="D725" s="6"/>
      <c r="E725" s="6"/>
      <c r="F725" s="6"/>
      <c r="G725" s="6"/>
    </row>
    <row r="726" spans="3:7" x14ac:dyDescent="0.25">
      <c r="C726" s="6"/>
      <c r="D726" s="6"/>
      <c r="E726" s="6"/>
      <c r="F726" s="6"/>
      <c r="G726" s="6"/>
    </row>
    <row r="727" spans="3:7" x14ac:dyDescent="0.25">
      <c r="C727" s="6"/>
      <c r="D727" s="6"/>
      <c r="E727" s="6"/>
      <c r="F727" s="6"/>
      <c r="G727" s="6"/>
    </row>
    <row r="728" spans="3:7" x14ac:dyDescent="0.25">
      <c r="C728" s="6"/>
      <c r="D728" s="6"/>
      <c r="E728" s="6"/>
      <c r="F728" s="6"/>
      <c r="G728" s="6"/>
    </row>
    <row r="729" spans="3:7" x14ac:dyDescent="0.25">
      <c r="C729" s="6"/>
      <c r="D729" s="6"/>
      <c r="E729" s="6"/>
      <c r="F729" s="6"/>
      <c r="G729" s="6"/>
    </row>
    <row r="730" spans="3:7" x14ac:dyDescent="0.25">
      <c r="C730" s="6"/>
      <c r="D730" s="6"/>
      <c r="E730" s="6"/>
      <c r="F730" s="6"/>
      <c r="G730" s="6"/>
    </row>
    <row r="731" spans="3:7" x14ac:dyDescent="0.25">
      <c r="C731" s="6"/>
      <c r="D731" s="6"/>
      <c r="E731" s="6"/>
      <c r="F731" s="6"/>
      <c r="G731" s="6"/>
    </row>
    <row r="732" spans="3:7" x14ac:dyDescent="0.25">
      <c r="C732" s="6"/>
      <c r="D732" s="6"/>
      <c r="E732" s="6"/>
      <c r="F732" s="6"/>
      <c r="G732" s="6"/>
    </row>
    <row r="733" spans="3:7" x14ac:dyDescent="0.25">
      <c r="C733" s="6"/>
      <c r="D733" s="6"/>
      <c r="E733" s="6"/>
      <c r="F733" s="6"/>
      <c r="G733" s="6"/>
    </row>
    <row r="734" spans="3:7" x14ac:dyDescent="0.25">
      <c r="C734" s="6"/>
      <c r="D734" s="6"/>
      <c r="E734" s="6"/>
      <c r="F734" s="6"/>
      <c r="G734" s="6"/>
    </row>
    <row r="735" spans="3:7" x14ac:dyDescent="0.25">
      <c r="C735" s="6"/>
      <c r="D735" s="6"/>
      <c r="E735" s="6"/>
      <c r="F735" s="6"/>
      <c r="G735" s="6"/>
    </row>
    <row r="736" spans="3:7" x14ac:dyDescent="0.25">
      <c r="C736" s="6"/>
      <c r="D736" s="6"/>
      <c r="E736" s="6"/>
      <c r="F736" s="6"/>
      <c r="G736" s="6"/>
    </row>
    <row r="737" spans="3:7" x14ac:dyDescent="0.25">
      <c r="C737" s="6"/>
      <c r="D737" s="6"/>
      <c r="E737" s="6"/>
      <c r="F737" s="6"/>
      <c r="G737" s="6"/>
    </row>
    <row r="738" spans="3:7" x14ac:dyDescent="0.25">
      <c r="C738" s="6"/>
      <c r="D738" s="6"/>
      <c r="E738" s="6"/>
      <c r="F738" s="6"/>
      <c r="G738" s="6"/>
    </row>
    <row r="739" spans="3:7" x14ac:dyDescent="0.25">
      <c r="C739" s="6"/>
      <c r="D739" s="6"/>
      <c r="E739" s="6"/>
      <c r="F739" s="6"/>
      <c r="G739" s="6"/>
    </row>
    <row r="740" spans="3:7" x14ac:dyDescent="0.25">
      <c r="C740" s="6"/>
      <c r="D740" s="6"/>
      <c r="E740" s="6"/>
      <c r="F740" s="6"/>
      <c r="G740" s="6"/>
    </row>
    <row r="741" spans="3:7" x14ac:dyDescent="0.25">
      <c r="C741" s="6"/>
      <c r="D741" s="6"/>
      <c r="E741" s="6"/>
      <c r="F741" s="6"/>
      <c r="G741" s="6"/>
    </row>
    <row r="742" spans="3:7" x14ac:dyDescent="0.25">
      <c r="C742" s="6"/>
      <c r="D742" s="6"/>
      <c r="E742" s="6"/>
      <c r="F742" s="6"/>
      <c r="G742" s="6"/>
    </row>
    <row r="743" spans="3:7" x14ac:dyDescent="0.25">
      <c r="C743" s="6"/>
      <c r="D743" s="6"/>
      <c r="E743" s="6"/>
      <c r="F743" s="6"/>
      <c r="G743" s="6"/>
    </row>
    <row r="744" spans="3:7" x14ac:dyDescent="0.25">
      <c r="C744" s="6"/>
      <c r="D744" s="6"/>
      <c r="E744" s="6"/>
      <c r="F744" s="6"/>
      <c r="G744" s="6"/>
    </row>
    <row r="745" spans="3:7" x14ac:dyDescent="0.25">
      <c r="C745" s="6"/>
      <c r="D745" s="6"/>
      <c r="E745" s="6"/>
      <c r="F745" s="6"/>
      <c r="G745" s="6"/>
    </row>
    <row r="746" spans="3:7" x14ac:dyDescent="0.25">
      <c r="C746" s="6"/>
      <c r="D746" s="6"/>
      <c r="E746" s="6"/>
      <c r="F746" s="6"/>
      <c r="G746" s="6"/>
    </row>
    <row r="747" spans="3:7" x14ac:dyDescent="0.25">
      <c r="C747" s="6"/>
      <c r="D747" s="6"/>
      <c r="E747" s="6"/>
      <c r="F747" s="6"/>
      <c r="G747" s="6"/>
    </row>
    <row r="748" spans="3:7" x14ac:dyDescent="0.25">
      <c r="C748" s="6"/>
      <c r="D748" s="6"/>
      <c r="E748" s="6"/>
      <c r="F748" s="6"/>
      <c r="G748" s="6"/>
    </row>
    <row r="749" spans="3:7" x14ac:dyDescent="0.25">
      <c r="C749" s="6"/>
      <c r="D749" s="6"/>
      <c r="E749" s="6"/>
      <c r="F749" s="6"/>
      <c r="G749" s="6"/>
    </row>
    <row r="750" spans="3:7" x14ac:dyDescent="0.25">
      <c r="C750" s="6"/>
      <c r="D750" s="6"/>
      <c r="E750" s="6"/>
      <c r="F750" s="6"/>
      <c r="G750" s="6"/>
    </row>
    <row r="751" spans="3:7" x14ac:dyDescent="0.25">
      <c r="C751" s="6"/>
      <c r="D751" s="6"/>
      <c r="E751" s="6"/>
      <c r="F751" s="6"/>
      <c r="G751" s="6"/>
    </row>
    <row r="752" spans="3:7" x14ac:dyDescent="0.25">
      <c r="C752" s="6"/>
      <c r="D752" s="6"/>
      <c r="E752" s="6"/>
      <c r="F752" s="6"/>
      <c r="G752" s="6"/>
    </row>
    <row r="753" spans="3:7" x14ac:dyDescent="0.25">
      <c r="C753" s="6"/>
      <c r="D753" s="6"/>
      <c r="E753" s="6"/>
      <c r="F753" s="6"/>
      <c r="G753" s="6"/>
    </row>
    <row r="754" spans="3:7" x14ac:dyDescent="0.25">
      <c r="C754" s="6"/>
      <c r="D754" s="6"/>
      <c r="E754" s="6"/>
      <c r="F754" s="6"/>
      <c r="G754" s="6"/>
    </row>
    <row r="755" spans="3:7" x14ac:dyDescent="0.25">
      <c r="C755" s="6"/>
      <c r="D755" s="6"/>
      <c r="E755" s="6"/>
      <c r="F755" s="6"/>
      <c r="G755" s="6"/>
    </row>
    <row r="756" spans="3:7" x14ac:dyDescent="0.25">
      <c r="C756" s="6"/>
      <c r="D756" s="6"/>
      <c r="E756" s="6"/>
      <c r="F756" s="6"/>
      <c r="G756" s="6"/>
    </row>
    <row r="757" spans="3:7" x14ac:dyDescent="0.25">
      <c r="C757" s="6"/>
      <c r="D757" s="6"/>
      <c r="E757" s="6"/>
      <c r="F757" s="6"/>
      <c r="G757" s="6"/>
    </row>
    <row r="758" spans="3:7" x14ac:dyDescent="0.25">
      <c r="C758" s="6"/>
      <c r="D758" s="6"/>
      <c r="E758" s="6"/>
      <c r="F758" s="6"/>
      <c r="G758" s="6"/>
    </row>
    <row r="759" spans="3:7" x14ac:dyDescent="0.25">
      <c r="C759" s="6"/>
      <c r="D759" s="6"/>
      <c r="E759" s="6"/>
      <c r="F759" s="6"/>
      <c r="G759" s="6"/>
    </row>
    <row r="760" spans="3:7" x14ac:dyDescent="0.25">
      <c r="C760" s="6"/>
      <c r="D760" s="6"/>
      <c r="E760" s="6"/>
      <c r="F760" s="6"/>
      <c r="G760" s="6"/>
    </row>
    <row r="761" spans="3:7" x14ac:dyDescent="0.25">
      <c r="C761" s="6"/>
      <c r="D761" s="6"/>
      <c r="E761" s="6"/>
      <c r="F761" s="6"/>
      <c r="G761" s="6"/>
    </row>
    <row r="762" spans="3:7" x14ac:dyDescent="0.25">
      <c r="C762" s="6"/>
      <c r="D762" s="6"/>
      <c r="E762" s="6"/>
      <c r="F762" s="6"/>
      <c r="G762" s="6"/>
    </row>
    <row r="763" spans="3:7" x14ac:dyDescent="0.25">
      <c r="C763" s="6"/>
      <c r="D763" s="6"/>
      <c r="E763" s="6"/>
      <c r="F763" s="6"/>
      <c r="G763" s="6"/>
    </row>
    <row r="764" spans="3:7" x14ac:dyDescent="0.25">
      <c r="C764" s="6"/>
      <c r="D764" s="6"/>
      <c r="E764" s="6"/>
      <c r="F764" s="6"/>
      <c r="G764" s="6"/>
    </row>
    <row r="765" spans="3:7" x14ac:dyDescent="0.25">
      <c r="C765" s="6"/>
      <c r="D765" s="6"/>
      <c r="E765" s="6"/>
      <c r="F765" s="6"/>
      <c r="G765" s="6"/>
    </row>
    <row r="766" spans="3:7" x14ac:dyDescent="0.25">
      <c r="C766" s="6"/>
      <c r="D766" s="6"/>
      <c r="E766" s="6"/>
      <c r="F766" s="6"/>
      <c r="G766" s="6"/>
    </row>
    <row r="767" spans="3:7" x14ac:dyDescent="0.25">
      <c r="C767" s="6"/>
      <c r="D767" s="6"/>
      <c r="E767" s="6"/>
      <c r="F767" s="6"/>
      <c r="G767" s="6"/>
    </row>
    <row r="768" spans="3:7" x14ac:dyDescent="0.25">
      <c r="C768" s="6"/>
      <c r="D768" s="6"/>
      <c r="E768" s="6"/>
      <c r="F768" s="6"/>
      <c r="G768" s="6"/>
    </row>
    <row r="769" spans="3:7" x14ac:dyDescent="0.25">
      <c r="C769" s="6"/>
      <c r="D769" s="6"/>
      <c r="E769" s="6"/>
      <c r="F769" s="6"/>
      <c r="G769" s="6"/>
    </row>
    <row r="770" spans="3:7" x14ac:dyDescent="0.25">
      <c r="C770" s="6"/>
      <c r="D770" s="6"/>
      <c r="E770" s="6"/>
      <c r="F770" s="6"/>
      <c r="G770" s="6"/>
    </row>
    <row r="771" spans="3:7" x14ac:dyDescent="0.25">
      <c r="C771" s="6"/>
      <c r="D771" s="6"/>
      <c r="E771" s="6"/>
      <c r="F771" s="6"/>
      <c r="G771" s="6"/>
    </row>
    <row r="772" spans="3:7" x14ac:dyDescent="0.25">
      <c r="C772" s="6"/>
      <c r="D772" s="6"/>
      <c r="E772" s="6"/>
      <c r="F772" s="6"/>
      <c r="G772" s="6"/>
    </row>
    <row r="773" spans="3:7" x14ac:dyDescent="0.25">
      <c r="C773" s="6"/>
      <c r="D773" s="6"/>
      <c r="E773" s="6"/>
      <c r="F773" s="6"/>
      <c r="G773" s="6"/>
    </row>
    <row r="774" spans="3:7" x14ac:dyDescent="0.25">
      <c r="C774" s="6"/>
      <c r="D774" s="6"/>
      <c r="E774" s="6"/>
      <c r="F774" s="6"/>
      <c r="G774" s="6"/>
    </row>
    <row r="775" spans="3:7" x14ac:dyDescent="0.25">
      <c r="C775" s="6"/>
      <c r="D775" s="6"/>
      <c r="E775" s="6"/>
      <c r="F775" s="6"/>
      <c r="G775" s="6"/>
    </row>
    <row r="776" spans="3:7" x14ac:dyDescent="0.25">
      <c r="C776" s="6"/>
      <c r="D776" s="6"/>
      <c r="E776" s="6"/>
      <c r="F776" s="6"/>
      <c r="G776" s="6"/>
    </row>
    <row r="777" spans="3:7" x14ac:dyDescent="0.25">
      <c r="C777" s="6"/>
      <c r="D777" s="6"/>
      <c r="E777" s="6"/>
      <c r="F777" s="6"/>
      <c r="G777" s="6"/>
    </row>
    <row r="778" spans="3:7" x14ac:dyDescent="0.25">
      <c r="C778" s="6"/>
      <c r="D778" s="6"/>
      <c r="E778" s="6"/>
      <c r="F778" s="6"/>
      <c r="G778" s="6"/>
    </row>
    <row r="779" spans="3:7" x14ac:dyDescent="0.25">
      <c r="C779" s="6"/>
      <c r="D779" s="6"/>
      <c r="E779" s="6"/>
      <c r="F779" s="6"/>
      <c r="G779" s="6"/>
    </row>
    <row r="780" spans="3:7" x14ac:dyDescent="0.25">
      <c r="C780" s="6"/>
      <c r="D780" s="6"/>
      <c r="E780" s="6"/>
      <c r="F780" s="6"/>
      <c r="G780" s="6"/>
    </row>
    <row r="781" spans="3:7" x14ac:dyDescent="0.25">
      <c r="C781" s="6"/>
      <c r="D781" s="6"/>
      <c r="E781" s="6"/>
      <c r="F781" s="6"/>
      <c r="G781" s="6"/>
    </row>
    <row r="782" spans="3:7" x14ac:dyDescent="0.25">
      <c r="C782" s="6"/>
      <c r="D782" s="6"/>
      <c r="E782" s="6"/>
      <c r="F782" s="6"/>
      <c r="G782" s="6"/>
    </row>
    <row r="783" spans="3:7" x14ac:dyDescent="0.25">
      <c r="C783" s="6"/>
      <c r="D783" s="6"/>
      <c r="E783" s="6"/>
      <c r="F783" s="6"/>
      <c r="G783" s="6"/>
    </row>
    <row r="784" spans="3:7" x14ac:dyDescent="0.25">
      <c r="C784" s="6"/>
      <c r="D784" s="6"/>
      <c r="E784" s="6"/>
      <c r="F784" s="6"/>
      <c r="G784" s="6"/>
    </row>
    <row r="785" spans="3:7" x14ac:dyDescent="0.25">
      <c r="C785" s="6"/>
      <c r="D785" s="6"/>
      <c r="E785" s="6"/>
      <c r="F785" s="6"/>
      <c r="G785" s="6"/>
    </row>
    <row r="786" spans="3:7" x14ac:dyDescent="0.25">
      <c r="C786" s="6"/>
      <c r="D786" s="6"/>
      <c r="E786" s="6"/>
      <c r="F786" s="6"/>
      <c r="G786" s="6"/>
    </row>
    <row r="787" spans="3:7" x14ac:dyDescent="0.25">
      <c r="C787" s="6"/>
      <c r="D787" s="6"/>
      <c r="E787" s="6"/>
      <c r="F787" s="6"/>
      <c r="G787" s="6"/>
    </row>
    <row r="788" spans="3:7" x14ac:dyDescent="0.25">
      <c r="C788" s="6"/>
      <c r="D788" s="6"/>
      <c r="E788" s="6"/>
      <c r="F788" s="6"/>
      <c r="G788" s="6"/>
    </row>
    <row r="789" spans="3:7" x14ac:dyDescent="0.25">
      <c r="C789" s="6"/>
      <c r="D789" s="6"/>
      <c r="E789" s="6"/>
      <c r="F789" s="6"/>
      <c r="G789" s="6"/>
    </row>
    <row r="790" spans="3:7" x14ac:dyDescent="0.25">
      <c r="C790" s="6"/>
      <c r="D790" s="6"/>
      <c r="E790" s="6"/>
      <c r="F790" s="6"/>
      <c r="G790" s="6"/>
    </row>
    <row r="791" spans="3:7" x14ac:dyDescent="0.25">
      <c r="C791" s="6"/>
      <c r="D791" s="6"/>
      <c r="E791" s="6"/>
      <c r="F791" s="6"/>
      <c r="G791" s="6"/>
    </row>
    <row r="792" spans="3:7" x14ac:dyDescent="0.25">
      <c r="C792" s="6"/>
      <c r="D792" s="6"/>
      <c r="E792" s="6"/>
      <c r="F792" s="6"/>
      <c r="G792" s="6"/>
    </row>
    <row r="793" spans="3:7" x14ac:dyDescent="0.25">
      <c r="C793" s="6"/>
      <c r="D793" s="6"/>
      <c r="E793" s="6"/>
      <c r="F793" s="6"/>
      <c r="G793" s="6"/>
    </row>
    <row r="794" spans="3:7" x14ac:dyDescent="0.25">
      <c r="C794" s="6"/>
      <c r="D794" s="6"/>
      <c r="E794" s="6"/>
      <c r="F794" s="6"/>
      <c r="G794" s="6"/>
    </row>
    <row r="795" spans="3:7" x14ac:dyDescent="0.25">
      <c r="C795" s="6"/>
      <c r="D795" s="6"/>
      <c r="E795" s="6"/>
      <c r="F795" s="6"/>
      <c r="G795" s="6"/>
    </row>
    <row r="796" spans="3:7" x14ac:dyDescent="0.25">
      <c r="C796" s="6"/>
      <c r="D796" s="6"/>
      <c r="E796" s="6"/>
      <c r="F796" s="6"/>
      <c r="G796" s="6"/>
    </row>
    <row r="797" spans="3:7" x14ac:dyDescent="0.25">
      <c r="C797" s="6"/>
      <c r="D797" s="6"/>
      <c r="E797" s="6"/>
      <c r="F797" s="6"/>
      <c r="G797" s="6"/>
    </row>
    <row r="798" spans="3:7" x14ac:dyDescent="0.25">
      <c r="C798" s="6"/>
      <c r="D798" s="6"/>
      <c r="E798" s="6"/>
      <c r="F798" s="6"/>
      <c r="G798" s="6"/>
    </row>
    <row r="799" spans="3:7" x14ac:dyDescent="0.25">
      <c r="C799" s="6"/>
      <c r="D799" s="6"/>
      <c r="E799" s="6"/>
      <c r="F799" s="6"/>
      <c r="G799" s="6"/>
    </row>
    <row r="800" spans="3:7" x14ac:dyDescent="0.25">
      <c r="C800" s="6"/>
      <c r="D800" s="6"/>
      <c r="E800" s="6"/>
      <c r="F800" s="6"/>
      <c r="G800" s="6"/>
    </row>
    <row r="801" spans="3:7" x14ac:dyDescent="0.25">
      <c r="C801" s="6"/>
      <c r="D801" s="6"/>
      <c r="E801" s="6"/>
      <c r="F801" s="6"/>
      <c r="G801" s="6"/>
    </row>
    <row r="802" spans="3:7" x14ac:dyDescent="0.25">
      <c r="C802" s="6"/>
      <c r="D802" s="6"/>
      <c r="E802" s="6"/>
      <c r="F802" s="6"/>
      <c r="G802" s="6"/>
    </row>
    <row r="803" spans="3:7" x14ac:dyDescent="0.25">
      <c r="C803" s="6"/>
      <c r="D803" s="6"/>
      <c r="E803" s="6"/>
      <c r="F803" s="6"/>
      <c r="G803" s="6"/>
    </row>
    <row r="804" spans="3:7" x14ac:dyDescent="0.25">
      <c r="C804" s="6"/>
      <c r="D804" s="6"/>
      <c r="E804" s="6"/>
      <c r="F804" s="6"/>
      <c r="G804" s="6"/>
    </row>
    <row r="805" spans="3:7" x14ac:dyDescent="0.25">
      <c r="C805" s="6"/>
      <c r="D805" s="6"/>
      <c r="E805" s="6"/>
      <c r="F805" s="6"/>
      <c r="G805" s="6"/>
    </row>
    <row r="806" spans="3:7" x14ac:dyDescent="0.25">
      <c r="C806" s="6"/>
      <c r="D806" s="6"/>
      <c r="E806" s="6"/>
      <c r="F806" s="6"/>
      <c r="G806" s="6"/>
    </row>
    <row r="807" spans="3:7" x14ac:dyDescent="0.25">
      <c r="C807" s="6"/>
      <c r="D807" s="6"/>
      <c r="E807" s="6"/>
      <c r="F807" s="6"/>
      <c r="G807" s="6"/>
    </row>
    <row r="808" spans="3:7" x14ac:dyDescent="0.25">
      <c r="C808" s="6"/>
      <c r="D808" s="6"/>
      <c r="E808" s="6"/>
      <c r="F808" s="6"/>
      <c r="G808" s="6"/>
    </row>
    <row r="809" spans="3:7" x14ac:dyDescent="0.25">
      <c r="C809" s="6"/>
      <c r="D809" s="6"/>
      <c r="E809" s="6"/>
      <c r="F809" s="6"/>
      <c r="G809" s="6"/>
    </row>
    <row r="810" spans="3:7" x14ac:dyDescent="0.25">
      <c r="C810" s="6"/>
      <c r="D810" s="6"/>
      <c r="E810" s="6"/>
      <c r="F810" s="6"/>
      <c r="G810" s="6"/>
    </row>
    <row r="811" spans="3:7" x14ac:dyDescent="0.25">
      <c r="C811" s="6"/>
      <c r="D811" s="6"/>
      <c r="E811" s="6"/>
      <c r="F811" s="6"/>
      <c r="G811" s="6"/>
    </row>
    <row r="812" spans="3:7" x14ac:dyDescent="0.25">
      <c r="C812" s="6"/>
      <c r="D812" s="6"/>
      <c r="E812" s="6"/>
      <c r="F812" s="6"/>
      <c r="G812" s="6"/>
    </row>
    <row r="813" spans="3:7" x14ac:dyDescent="0.25">
      <c r="C813" s="6"/>
      <c r="D813" s="6"/>
      <c r="E813" s="6"/>
      <c r="F813" s="6"/>
      <c r="G813" s="6"/>
    </row>
    <row r="814" spans="3:7" x14ac:dyDescent="0.25">
      <c r="C814" s="6"/>
      <c r="D814" s="6"/>
      <c r="E814" s="6"/>
      <c r="F814" s="6"/>
      <c r="G814" s="6"/>
    </row>
    <row r="815" spans="3:7" x14ac:dyDescent="0.25">
      <c r="C815" s="6"/>
      <c r="D815" s="6"/>
      <c r="E815" s="6"/>
      <c r="F815" s="6"/>
      <c r="G815" s="6"/>
    </row>
    <row r="816" spans="3:7" x14ac:dyDescent="0.25">
      <c r="C816" s="6"/>
      <c r="D816" s="6"/>
      <c r="E816" s="6"/>
      <c r="F816" s="6"/>
      <c r="G816" s="6"/>
    </row>
    <row r="817" spans="3:7" x14ac:dyDescent="0.25">
      <c r="C817" s="6"/>
      <c r="D817" s="6"/>
      <c r="E817" s="6"/>
      <c r="F817" s="6"/>
      <c r="G817" s="6"/>
    </row>
    <row r="818" spans="3:7" x14ac:dyDescent="0.25">
      <c r="C818" s="6"/>
      <c r="D818" s="6"/>
      <c r="E818" s="6"/>
      <c r="F818" s="6"/>
      <c r="G818" s="6"/>
    </row>
    <row r="819" spans="3:7" x14ac:dyDescent="0.25">
      <c r="C819" s="6"/>
      <c r="D819" s="6"/>
      <c r="E819" s="6"/>
      <c r="F819" s="6"/>
      <c r="G819" s="6"/>
    </row>
    <row r="820" spans="3:7" x14ac:dyDescent="0.25">
      <c r="C820" s="6"/>
      <c r="D820" s="6"/>
      <c r="E820" s="6"/>
      <c r="F820" s="6"/>
      <c r="G820" s="6"/>
    </row>
    <row r="821" spans="3:7" x14ac:dyDescent="0.25">
      <c r="C821" s="6"/>
      <c r="D821" s="6"/>
      <c r="E821" s="6"/>
      <c r="F821" s="6"/>
      <c r="G821" s="6"/>
    </row>
    <row r="822" spans="3:7" x14ac:dyDescent="0.25">
      <c r="C822" s="6"/>
      <c r="D822" s="6"/>
      <c r="E822" s="6"/>
      <c r="F822" s="6"/>
      <c r="G822" s="6"/>
    </row>
    <row r="823" spans="3:7" x14ac:dyDescent="0.25">
      <c r="C823" s="6"/>
      <c r="D823" s="6"/>
      <c r="E823" s="6"/>
      <c r="F823" s="6"/>
      <c r="G823" s="6"/>
    </row>
    <row r="824" spans="3:7" x14ac:dyDescent="0.25">
      <c r="C824" s="6"/>
      <c r="D824" s="6"/>
      <c r="E824" s="6"/>
      <c r="F824" s="6"/>
      <c r="G824" s="6"/>
    </row>
    <row r="825" spans="3:7" x14ac:dyDescent="0.25">
      <c r="C825" s="6"/>
      <c r="D825" s="6"/>
      <c r="E825" s="6"/>
      <c r="F825" s="6"/>
      <c r="G825" s="6"/>
    </row>
    <row r="826" spans="3:7" x14ac:dyDescent="0.25">
      <c r="C826" s="6"/>
      <c r="D826" s="6"/>
      <c r="E826" s="6"/>
      <c r="F826" s="6"/>
      <c r="G826" s="6"/>
    </row>
    <row r="827" spans="3:7" x14ac:dyDescent="0.25">
      <c r="C827" s="6"/>
      <c r="D827" s="6"/>
      <c r="E827" s="6"/>
      <c r="F827" s="6"/>
      <c r="G827" s="6"/>
    </row>
    <row r="828" spans="3:7" x14ac:dyDescent="0.25">
      <c r="C828" s="6"/>
      <c r="D828" s="6"/>
      <c r="E828" s="6"/>
      <c r="F828" s="6"/>
      <c r="G828" s="6"/>
    </row>
    <row r="829" spans="3:7" x14ac:dyDescent="0.25">
      <c r="C829" s="6"/>
      <c r="D829" s="6"/>
      <c r="E829" s="6"/>
      <c r="F829" s="6"/>
      <c r="G829" s="6"/>
    </row>
    <row r="830" spans="3:7" x14ac:dyDescent="0.25">
      <c r="C830" s="6"/>
      <c r="D830" s="6"/>
      <c r="E830" s="6"/>
      <c r="F830" s="6"/>
      <c r="G830" s="6"/>
    </row>
    <row r="831" spans="3:7" x14ac:dyDescent="0.25">
      <c r="C831" s="6"/>
      <c r="D831" s="6"/>
      <c r="E831" s="6"/>
      <c r="F831" s="6"/>
      <c r="G831" s="6"/>
    </row>
    <row r="832" spans="3:7" x14ac:dyDescent="0.25">
      <c r="C832" s="6"/>
      <c r="D832" s="6"/>
      <c r="E832" s="6"/>
      <c r="F832" s="6"/>
      <c r="G832" s="6"/>
    </row>
    <row r="833" spans="3:7" x14ac:dyDescent="0.25">
      <c r="C833" s="6"/>
      <c r="D833" s="6"/>
      <c r="E833" s="6"/>
      <c r="F833" s="6"/>
      <c r="G833" s="6"/>
    </row>
    <row r="834" spans="3:7" x14ac:dyDescent="0.25">
      <c r="C834" s="6"/>
      <c r="D834" s="6"/>
      <c r="E834" s="6"/>
      <c r="F834" s="6"/>
      <c r="G834" s="6"/>
    </row>
    <row r="835" spans="3:7" x14ac:dyDescent="0.25">
      <c r="C835" s="6"/>
      <c r="D835" s="6"/>
      <c r="E835" s="6"/>
      <c r="F835" s="6"/>
      <c r="G835" s="6"/>
    </row>
    <row r="836" spans="3:7" x14ac:dyDescent="0.25">
      <c r="C836" s="6"/>
      <c r="D836" s="6"/>
      <c r="E836" s="6"/>
      <c r="F836" s="6"/>
      <c r="G836" s="6"/>
    </row>
    <row r="837" spans="3:7" x14ac:dyDescent="0.25">
      <c r="C837" s="6"/>
      <c r="D837" s="6"/>
      <c r="E837" s="6"/>
      <c r="F837" s="6"/>
      <c r="G837" s="6"/>
    </row>
    <row r="838" spans="3:7" x14ac:dyDescent="0.25">
      <c r="C838" s="6"/>
      <c r="D838" s="6"/>
      <c r="E838" s="6"/>
      <c r="F838" s="6"/>
      <c r="G838" s="6"/>
    </row>
    <row r="839" spans="3:7" x14ac:dyDescent="0.25">
      <c r="C839" s="6"/>
      <c r="D839" s="6"/>
      <c r="E839" s="6"/>
      <c r="F839" s="6"/>
      <c r="G839" s="6"/>
    </row>
    <row r="840" spans="3:7" x14ac:dyDescent="0.25">
      <c r="C840" s="6"/>
      <c r="D840" s="6"/>
      <c r="E840" s="6"/>
      <c r="F840" s="6"/>
      <c r="G840" s="6"/>
    </row>
    <row r="841" spans="3:7" x14ac:dyDescent="0.25">
      <c r="C841" s="6"/>
      <c r="D841" s="6"/>
      <c r="E841" s="6"/>
      <c r="F841" s="6"/>
      <c r="G841" s="6"/>
    </row>
    <row r="842" spans="3:7" x14ac:dyDescent="0.25">
      <c r="C842" s="6"/>
      <c r="D842" s="6"/>
      <c r="E842" s="6"/>
      <c r="F842" s="6"/>
      <c r="G842" s="6"/>
    </row>
    <row r="843" spans="3:7" x14ac:dyDescent="0.25">
      <c r="C843" s="6"/>
      <c r="D843" s="6"/>
      <c r="E843" s="6"/>
      <c r="F843" s="6"/>
      <c r="G843" s="6"/>
    </row>
    <row r="844" spans="3:7" x14ac:dyDescent="0.25">
      <c r="C844" s="6"/>
      <c r="D844" s="6"/>
      <c r="E844" s="6"/>
      <c r="F844" s="6"/>
      <c r="G844" s="6"/>
    </row>
    <row r="845" spans="3:7" x14ac:dyDescent="0.25">
      <c r="C845" s="6"/>
      <c r="D845" s="6"/>
      <c r="E845" s="6"/>
      <c r="F845" s="6"/>
      <c r="G845" s="6"/>
    </row>
    <row r="846" spans="3:7" x14ac:dyDescent="0.25">
      <c r="C846" s="6"/>
      <c r="D846" s="6"/>
      <c r="E846" s="6"/>
      <c r="F846" s="6"/>
      <c r="G846" s="6"/>
    </row>
    <row r="847" spans="3:7" x14ac:dyDescent="0.25">
      <c r="C847" s="6"/>
      <c r="D847" s="6"/>
      <c r="E847" s="6"/>
      <c r="F847" s="6"/>
      <c r="G847" s="6"/>
    </row>
    <row r="848" spans="3:7" x14ac:dyDescent="0.25">
      <c r="C848" s="6"/>
      <c r="D848" s="6"/>
      <c r="E848" s="6"/>
      <c r="F848" s="6"/>
      <c r="G848" s="6"/>
    </row>
    <row r="849" spans="3:7" x14ac:dyDescent="0.25">
      <c r="C849" s="6"/>
      <c r="D849" s="6"/>
      <c r="E849" s="6"/>
      <c r="F849" s="6"/>
      <c r="G849" s="6"/>
    </row>
    <row r="850" spans="3:7" x14ac:dyDescent="0.25">
      <c r="C850" s="6"/>
      <c r="D850" s="6"/>
      <c r="E850" s="6"/>
      <c r="F850" s="6"/>
      <c r="G850" s="6"/>
    </row>
    <row r="851" spans="3:7" x14ac:dyDescent="0.25">
      <c r="C851" s="6"/>
      <c r="D851" s="6"/>
      <c r="E851" s="6"/>
      <c r="F851" s="6"/>
      <c r="G851" s="6"/>
    </row>
    <row r="852" spans="3:7" x14ac:dyDescent="0.25">
      <c r="C852" s="6"/>
      <c r="D852" s="6"/>
      <c r="E852" s="6"/>
      <c r="F852" s="6"/>
      <c r="G852" s="6"/>
    </row>
    <row r="853" spans="3:7" x14ac:dyDescent="0.25">
      <c r="C853" s="6"/>
      <c r="D853" s="6"/>
      <c r="E853" s="6"/>
      <c r="F853" s="6"/>
      <c r="G853" s="6"/>
    </row>
    <row r="854" spans="3:7" x14ac:dyDescent="0.25">
      <c r="C854" s="6"/>
      <c r="D854" s="6"/>
      <c r="E854" s="6"/>
      <c r="F854" s="6"/>
      <c r="G854" s="6"/>
    </row>
    <row r="855" spans="3:7" x14ac:dyDescent="0.25">
      <c r="C855" s="6"/>
      <c r="D855" s="6"/>
      <c r="E855" s="6"/>
      <c r="F855" s="6"/>
      <c r="G855" s="6"/>
    </row>
    <row r="856" spans="3:7" x14ac:dyDescent="0.25">
      <c r="C856" s="6"/>
      <c r="D856" s="6"/>
      <c r="E856" s="6"/>
      <c r="F856" s="6"/>
      <c r="G856" s="6"/>
    </row>
    <row r="857" spans="3:7" x14ac:dyDescent="0.25">
      <c r="C857" s="6"/>
      <c r="D857" s="6"/>
      <c r="E857" s="6"/>
      <c r="F857" s="6"/>
      <c r="G857" s="6"/>
    </row>
    <row r="858" spans="3:7" x14ac:dyDescent="0.25">
      <c r="C858" s="6"/>
      <c r="D858" s="6"/>
      <c r="E858" s="6"/>
      <c r="F858" s="6"/>
      <c r="G858" s="6"/>
    </row>
    <row r="859" spans="3:7" x14ac:dyDescent="0.25">
      <c r="C859" s="6"/>
      <c r="D859" s="6"/>
      <c r="E859" s="6"/>
      <c r="F859" s="6"/>
      <c r="G859" s="6"/>
    </row>
    <row r="860" spans="3:7" x14ac:dyDescent="0.25">
      <c r="C860" s="6"/>
      <c r="D860" s="6"/>
      <c r="E860" s="6"/>
      <c r="F860" s="6"/>
      <c r="G860" s="6"/>
    </row>
    <row r="861" spans="3:7" x14ac:dyDescent="0.25">
      <c r="C861" s="6"/>
      <c r="D861" s="6"/>
      <c r="E861" s="6"/>
      <c r="F861" s="6"/>
      <c r="G861" s="6"/>
    </row>
    <row r="862" spans="3:7" x14ac:dyDescent="0.25">
      <c r="C862" s="6"/>
      <c r="D862" s="6"/>
      <c r="E862" s="6"/>
      <c r="F862" s="6"/>
      <c r="G862" s="6"/>
    </row>
    <row r="863" spans="3:7" x14ac:dyDescent="0.25">
      <c r="C863" s="6"/>
      <c r="D863" s="6"/>
      <c r="E863" s="6"/>
      <c r="F863" s="6"/>
      <c r="G863" s="6"/>
    </row>
    <row r="864" spans="3:7" x14ac:dyDescent="0.25">
      <c r="C864" s="6"/>
      <c r="D864" s="6"/>
      <c r="E864" s="6"/>
      <c r="F864" s="6"/>
      <c r="G864" s="6"/>
    </row>
    <row r="865" spans="3:7" x14ac:dyDescent="0.25">
      <c r="C865" s="6"/>
      <c r="D865" s="6"/>
      <c r="E865" s="6"/>
      <c r="F865" s="6"/>
      <c r="G865" s="6"/>
    </row>
    <row r="866" spans="3:7" x14ac:dyDescent="0.25">
      <c r="C866" s="6"/>
      <c r="D866" s="6"/>
      <c r="E866" s="6"/>
      <c r="F866" s="6"/>
      <c r="G866" s="6"/>
    </row>
    <row r="867" spans="3:7" x14ac:dyDescent="0.25">
      <c r="C867" s="6"/>
      <c r="D867" s="6"/>
      <c r="E867" s="6"/>
      <c r="F867" s="6"/>
      <c r="G867" s="6"/>
    </row>
    <row r="868" spans="3:7" x14ac:dyDescent="0.25">
      <c r="C868" s="6"/>
      <c r="D868" s="6"/>
      <c r="E868" s="6"/>
      <c r="F868" s="6"/>
      <c r="G868" s="6"/>
    </row>
    <row r="869" spans="3:7" x14ac:dyDescent="0.25">
      <c r="C869" s="6"/>
      <c r="D869" s="6"/>
      <c r="E869" s="6"/>
      <c r="F869" s="6"/>
      <c r="G869" s="6"/>
    </row>
    <row r="870" spans="3:7" x14ac:dyDescent="0.25">
      <c r="C870" s="6"/>
      <c r="D870" s="6"/>
      <c r="E870" s="6"/>
      <c r="F870" s="6"/>
      <c r="G870" s="6"/>
    </row>
    <row r="871" spans="3:7" x14ac:dyDescent="0.25">
      <c r="C871" s="6"/>
      <c r="D871" s="6"/>
      <c r="E871" s="6"/>
      <c r="F871" s="6"/>
      <c r="G871" s="6"/>
    </row>
    <row r="872" spans="3:7" x14ac:dyDescent="0.25">
      <c r="C872" s="6"/>
      <c r="D872" s="6"/>
      <c r="E872" s="6"/>
      <c r="F872" s="6"/>
      <c r="G872" s="6"/>
    </row>
    <row r="873" spans="3:7" x14ac:dyDescent="0.25">
      <c r="C873" s="6"/>
      <c r="D873" s="6"/>
      <c r="E873" s="6"/>
      <c r="F873" s="6"/>
      <c r="G873" s="6"/>
    </row>
    <row r="874" spans="3:7" x14ac:dyDescent="0.25">
      <c r="C874" s="6"/>
      <c r="D874" s="6"/>
      <c r="E874" s="6"/>
      <c r="F874" s="6"/>
      <c r="G874" s="6"/>
    </row>
    <row r="875" spans="3:7" x14ac:dyDescent="0.25">
      <c r="C875" s="6"/>
      <c r="D875" s="6"/>
      <c r="E875" s="6"/>
      <c r="F875" s="6"/>
      <c r="G875" s="6"/>
    </row>
    <row r="876" spans="3:7" x14ac:dyDescent="0.25">
      <c r="C876" s="6"/>
      <c r="D876" s="6"/>
      <c r="E876" s="6"/>
      <c r="F876" s="6"/>
      <c r="G876" s="6"/>
    </row>
    <row r="877" spans="3:7" x14ac:dyDescent="0.25">
      <c r="C877" s="6"/>
      <c r="D877" s="6"/>
      <c r="E877" s="6"/>
      <c r="F877" s="6"/>
      <c r="G877" s="6"/>
    </row>
    <row r="878" spans="3:7" x14ac:dyDescent="0.25">
      <c r="C878" s="6"/>
      <c r="D878" s="6"/>
      <c r="E878" s="6"/>
      <c r="F878" s="6"/>
      <c r="G878" s="6"/>
    </row>
    <row r="879" spans="3:7" x14ac:dyDescent="0.25">
      <c r="C879" s="6"/>
      <c r="D879" s="6"/>
      <c r="E879" s="6"/>
      <c r="F879" s="6"/>
      <c r="G879" s="6"/>
    </row>
    <row r="880" spans="3:7" x14ac:dyDescent="0.25">
      <c r="C880" s="6"/>
      <c r="D880" s="6"/>
      <c r="E880" s="6"/>
      <c r="F880" s="6"/>
      <c r="G880" s="6"/>
    </row>
    <row r="881" spans="3:7" x14ac:dyDescent="0.25">
      <c r="C881" s="6"/>
      <c r="D881" s="6"/>
      <c r="E881" s="6"/>
      <c r="F881" s="6"/>
      <c r="G881" s="6"/>
    </row>
    <row r="882" spans="3:7" x14ac:dyDescent="0.25">
      <c r="C882" s="6"/>
      <c r="D882" s="6"/>
      <c r="E882" s="6"/>
      <c r="F882" s="6"/>
      <c r="G882" s="6"/>
    </row>
    <row r="883" spans="3:7" x14ac:dyDescent="0.25">
      <c r="C883" s="6"/>
      <c r="D883" s="6"/>
      <c r="E883" s="6"/>
      <c r="F883" s="6"/>
      <c r="G883" s="6"/>
    </row>
    <row r="884" spans="3:7" x14ac:dyDescent="0.25">
      <c r="C884" s="6"/>
      <c r="D884" s="6"/>
      <c r="E884" s="6"/>
      <c r="F884" s="6"/>
      <c r="G884" s="6"/>
    </row>
    <row r="885" spans="3:7" x14ac:dyDescent="0.25">
      <c r="C885" s="6"/>
      <c r="D885" s="6"/>
      <c r="E885" s="6"/>
      <c r="F885" s="6"/>
      <c r="G885" s="6"/>
    </row>
    <row r="886" spans="3:7" x14ac:dyDescent="0.25">
      <c r="C886" s="6"/>
      <c r="D886" s="6"/>
      <c r="E886" s="6"/>
      <c r="F886" s="6"/>
      <c r="G886" s="6"/>
    </row>
    <row r="887" spans="3:7" x14ac:dyDescent="0.25">
      <c r="C887" s="6"/>
      <c r="D887" s="6"/>
      <c r="E887" s="6"/>
      <c r="F887" s="6"/>
      <c r="G887" s="6"/>
    </row>
    <row r="888" spans="3:7" x14ac:dyDescent="0.25">
      <c r="C888" s="6"/>
      <c r="D888" s="6"/>
      <c r="E888" s="6"/>
      <c r="F888" s="6"/>
      <c r="G888" s="6"/>
    </row>
    <row r="889" spans="3:7" x14ac:dyDescent="0.25">
      <c r="C889" s="6"/>
      <c r="D889" s="6"/>
      <c r="E889" s="6"/>
      <c r="F889" s="6"/>
      <c r="G889" s="6"/>
    </row>
    <row r="890" spans="3:7" x14ac:dyDescent="0.25">
      <c r="C890" s="6"/>
      <c r="D890" s="6"/>
      <c r="E890" s="6"/>
      <c r="F890" s="6"/>
      <c r="G890" s="6"/>
    </row>
    <row r="891" spans="3:7" x14ac:dyDescent="0.25">
      <c r="C891" s="6"/>
      <c r="D891" s="6"/>
      <c r="E891" s="6"/>
      <c r="F891" s="6"/>
      <c r="G891" s="6"/>
    </row>
    <row r="892" spans="3:7" x14ac:dyDescent="0.25">
      <c r="C892" s="6"/>
      <c r="D892" s="6"/>
      <c r="E892" s="6"/>
      <c r="F892" s="6"/>
      <c r="G892" s="6"/>
    </row>
    <row r="893" spans="3:7" x14ac:dyDescent="0.25">
      <c r="C893" s="6"/>
      <c r="D893" s="6"/>
      <c r="E893" s="6"/>
      <c r="F893" s="6"/>
      <c r="G893" s="6"/>
    </row>
    <row r="894" spans="3:7" x14ac:dyDescent="0.25">
      <c r="C894" s="6"/>
      <c r="D894" s="6"/>
      <c r="E894" s="6"/>
      <c r="F894" s="6"/>
      <c r="G894" s="6"/>
    </row>
    <row r="895" spans="3:7" x14ac:dyDescent="0.25">
      <c r="C895" s="6"/>
      <c r="D895" s="6"/>
      <c r="E895" s="6"/>
      <c r="F895" s="6"/>
      <c r="G895" s="6"/>
    </row>
    <row r="896" spans="3:7" x14ac:dyDescent="0.25">
      <c r="C896" s="6"/>
      <c r="D896" s="6"/>
      <c r="E896" s="6"/>
      <c r="F896" s="6"/>
      <c r="G896" s="6"/>
    </row>
    <row r="897" spans="3:7" x14ac:dyDescent="0.25">
      <c r="C897" s="6"/>
      <c r="D897" s="6"/>
      <c r="E897" s="6"/>
      <c r="F897" s="6"/>
      <c r="G897" s="6"/>
    </row>
    <row r="898" spans="3:7" x14ac:dyDescent="0.25">
      <c r="C898" s="6"/>
      <c r="D898" s="6"/>
      <c r="E898" s="6"/>
      <c r="F898" s="6"/>
      <c r="G898" s="6"/>
    </row>
    <row r="899" spans="3:7" x14ac:dyDescent="0.25">
      <c r="C899" s="6"/>
      <c r="D899" s="6"/>
      <c r="E899" s="6"/>
      <c r="F899" s="6"/>
      <c r="G899" s="6"/>
    </row>
    <row r="900" spans="3:7" x14ac:dyDescent="0.25">
      <c r="C900" s="6"/>
      <c r="D900" s="6"/>
      <c r="E900" s="6"/>
      <c r="F900" s="6"/>
      <c r="G900" s="6"/>
    </row>
    <row r="901" spans="3:7" x14ac:dyDescent="0.25">
      <c r="C901" s="6"/>
      <c r="D901" s="6"/>
      <c r="E901" s="6"/>
      <c r="F901" s="6"/>
      <c r="G901" s="6"/>
    </row>
    <row r="902" spans="3:7" x14ac:dyDescent="0.25">
      <c r="C902" s="6"/>
      <c r="D902" s="6"/>
      <c r="E902" s="6"/>
      <c r="F902" s="6"/>
      <c r="G902" s="6"/>
    </row>
    <row r="903" spans="3:7" x14ac:dyDescent="0.25">
      <c r="C903" s="6"/>
      <c r="D903" s="6"/>
      <c r="E903" s="6"/>
      <c r="F903" s="6"/>
      <c r="G903" s="6"/>
    </row>
    <row r="904" spans="3:7" x14ac:dyDescent="0.25">
      <c r="C904" s="6"/>
      <c r="D904" s="6"/>
      <c r="E904" s="6"/>
      <c r="F904" s="6"/>
      <c r="G904" s="6"/>
    </row>
    <row r="905" spans="3:7" x14ac:dyDescent="0.25">
      <c r="C905" s="6"/>
      <c r="D905" s="6"/>
      <c r="E905" s="6"/>
      <c r="F905" s="6"/>
      <c r="G905" s="6"/>
    </row>
    <row r="906" spans="3:7" x14ac:dyDescent="0.25">
      <c r="C906" s="6"/>
      <c r="D906" s="6"/>
      <c r="E906" s="6"/>
      <c r="F906" s="6"/>
      <c r="G906" s="6"/>
    </row>
    <row r="907" spans="3:7" x14ac:dyDescent="0.25">
      <c r="C907" s="6"/>
      <c r="D907" s="6"/>
      <c r="E907" s="6"/>
      <c r="F907" s="6"/>
      <c r="G907" s="6"/>
    </row>
    <row r="908" spans="3:7" x14ac:dyDescent="0.25">
      <c r="C908" s="6"/>
      <c r="D908" s="6"/>
      <c r="E908" s="6"/>
      <c r="F908" s="6"/>
      <c r="G908" s="6"/>
    </row>
    <row r="909" spans="3:7" x14ac:dyDescent="0.25">
      <c r="C909" s="6"/>
      <c r="D909" s="6"/>
      <c r="E909" s="6"/>
      <c r="F909" s="6"/>
      <c r="G909" s="6"/>
    </row>
    <row r="910" spans="3:7" x14ac:dyDescent="0.25">
      <c r="C910" s="6"/>
      <c r="D910" s="6"/>
      <c r="E910" s="6"/>
      <c r="F910" s="6"/>
      <c r="G910" s="6"/>
    </row>
    <row r="911" spans="3:7" x14ac:dyDescent="0.25">
      <c r="C911" s="6"/>
      <c r="D911" s="6"/>
      <c r="E911" s="6"/>
      <c r="F911" s="6"/>
      <c r="G911" s="6"/>
    </row>
    <row r="912" spans="3:7" x14ac:dyDescent="0.25">
      <c r="C912" s="6"/>
      <c r="D912" s="6"/>
      <c r="E912" s="6"/>
      <c r="F912" s="6"/>
      <c r="G912" s="6"/>
    </row>
    <row r="913" spans="3:7" x14ac:dyDescent="0.25">
      <c r="C913" s="6"/>
      <c r="D913" s="6"/>
      <c r="E913" s="6"/>
      <c r="F913" s="6"/>
      <c r="G913" s="6"/>
    </row>
    <row r="914" spans="3:7" x14ac:dyDescent="0.25">
      <c r="C914" s="6"/>
      <c r="D914" s="6"/>
      <c r="E914" s="6"/>
      <c r="F914" s="6"/>
      <c r="G914" s="6"/>
    </row>
    <row r="915" spans="3:7" x14ac:dyDescent="0.25">
      <c r="C915" s="6"/>
      <c r="D915" s="6"/>
      <c r="E915" s="6"/>
      <c r="F915" s="6"/>
      <c r="G915" s="6"/>
    </row>
    <row r="916" spans="3:7" x14ac:dyDescent="0.25">
      <c r="C916" s="6"/>
      <c r="D916" s="6"/>
      <c r="E916" s="6"/>
      <c r="F916" s="6"/>
      <c r="G916" s="6"/>
    </row>
    <row r="917" spans="3:7" x14ac:dyDescent="0.25">
      <c r="C917" s="6"/>
      <c r="D917" s="6"/>
      <c r="E917" s="6"/>
      <c r="F917" s="6"/>
      <c r="G917" s="6"/>
    </row>
    <row r="918" spans="3:7" x14ac:dyDescent="0.25">
      <c r="C918" s="6"/>
      <c r="D918" s="6"/>
      <c r="E918" s="6"/>
      <c r="F918" s="6"/>
      <c r="G918" s="6"/>
    </row>
    <row r="919" spans="3:7" x14ac:dyDescent="0.25">
      <c r="C919" s="6"/>
      <c r="D919" s="6"/>
      <c r="E919" s="6"/>
      <c r="F919" s="6"/>
      <c r="G919" s="6"/>
    </row>
    <row r="920" spans="3:7" x14ac:dyDescent="0.25">
      <c r="C920" s="6"/>
      <c r="D920" s="6"/>
      <c r="E920" s="6"/>
      <c r="F920" s="6"/>
      <c r="G920" s="6"/>
    </row>
    <row r="921" spans="3:7" x14ac:dyDescent="0.25">
      <c r="C921" s="6"/>
      <c r="D921" s="6"/>
      <c r="E921" s="6"/>
      <c r="F921" s="6"/>
      <c r="G921" s="6"/>
    </row>
    <row r="922" spans="3:7" x14ac:dyDescent="0.25">
      <c r="C922" s="6"/>
      <c r="D922" s="6"/>
      <c r="E922" s="6"/>
      <c r="F922" s="6"/>
      <c r="G922" s="6"/>
    </row>
    <row r="923" spans="3:7" x14ac:dyDescent="0.25">
      <c r="C923" s="6"/>
      <c r="D923" s="6"/>
      <c r="E923" s="6"/>
      <c r="F923" s="6"/>
      <c r="G923" s="6"/>
    </row>
    <row r="924" spans="3:7" x14ac:dyDescent="0.25">
      <c r="C924" s="6"/>
      <c r="D924" s="6"/>
      <c r="E924" s="6"/>
      <c r="F924" s="6"/>
      <c r="G924" s="6"/>
    </row>
    <row r="925" spans="3:7" x14ac:dyDescent="0.25">
      <c r="C925" s="6"/>
      <c r="D925" s="6"/>
      <c r="E925" s="6"/>
      <c r="F925" s="6"/>
      <c r="G925" s="6"/>
    </row>
    <row r="926" spans="3:7" x14ac:dyDescent="0.25">
      <c r="C926" s="6"/>
      <c r="D926" s="6"/>
      <c r="E926" s="6"/>
      <c r="F926" s="6"/>
      <c r="G926" s="6"/>
    </row>
    <row r="927" spans="3:7" x14ac:dyDescent="0.25">
      <c r="C927" s="6"/>
      <c r="D927" s="6"/>
      <c r="E927" s="6"/>
      <c r="F927" s="6"/>
      <c r="G927" s="6"/>
    </row>
    <row r="928" spans="3:7" x14ac:dyDescent="0.25">
      <c r="C928" s="6"/>
      <c r="D928" s="6"/>
      <c r="E928" s="6"/>
      <c r="F928" s="6"/>
      <c r="G928" s="6"/>
    </row>
    <row r="929" spans="3:7" x14ac:dyDescent="0.25">
      <c r="C929" s="6"/>
      <c r="D929" s="6"/>
      <c r="E929" s="6"/>
      <c r="F929" s="6"/>
      <c r="G929" s="6"/>
    </row>
    <row r="930" spans="3:7" x14ac:dyDescent="0.25">
      <c r="C930" s="6"/>
      <c r="D930" s="6"/>
      <c r="E930" s="6"/>
      <c r="F930" s="6"/>
      <c r="G930" s="6"/>
    </row>
    <row r="931" spans="3:7" x14ac:dyDescent="0.25">
      <c r="C931" s="6"/>
      <c r="D931" s="6"/>
      <c r="E931" s="6"/>
      <c r="F931" s="6"/>
      <c r="G931" s="6"/>
    </row>
    <row r="932" spans="3:7" x14ac:dyDescent="0.25">
      <c r="C932" s="6"/>
      <c r="D932" s="6"/>
      <c r="E932" s="6"/>
      <c r="F932" s="6"/>
      <c r="G932" s="6"/>
    </row>
    <row r="933" spans="3:7" x14ac:dyDescent="0.25">
      <c r="C933" s="6"/>
      <c r="D933" s="6"/>
      <c r="E933" s="6"/>
      <c r="F933" s="6"/>
      <c r="G933" s="6"/>
    </row>
    <row r="934" spans="3:7" x14ac:dyDescent="0.25">
      <c r="C934" s="6"/>
      <c r="D934" s="6"/>
      <c r="E934" s="6"/>
      <c r="F934" s="6"/>
      <c r="G934" s="6"/>
    </row>
    <row r="935" spans="3:7" x14ac:dyDescent="0.25">
      <c r="C935" s="6"/>
      <c r="D935" s="6"/>
      <c r="E935" s="6"/>
      <c r="F935" s="6"/>
      <c r="G935" s="6"/>
    </row>
    <row r="936" spans="3:7" x14ac:dyDescent="0.25">
      <c r="C936" s="6"/>
      <c r="D936" s="6"/>
      <c r="E936" s="6"/>
      <c r="F936" s="6"/>
      <c r="G936" s="6"/>
    </row>
    <row r="937" spans="3:7" x14ac:dyDescent="0.25">
      <c r="C937" s="6"/>
      <c r="D937" s="6"/>
      <c r="E937" s="6"/>
      <c r="F937" s="6"/>
      <c r="G937" s="6"/>
    </row>
    <row r="938" spans="3:7" x14ac:dyDescent="0.25">
      <c r="C938" s="6"/>
      <c r="D938" s="6"/>
      <c r="E938" s="6"/>
      <c r="F938" s="6"/>
      <c r="G938" s="6"/>
    </row>
    <row r="939" spans="3:7" x14ac:dyDescent="0.25">
      <c r="C939" s="6"/>
      <c r="D939" s="6"/>
      <c r="E939" s="6"/>
      <c r="F939" s="6"/>
      <c r="G939" s="6"/>
    </row>
    <row r="940" spans="3:7" x14ac:dyDescent="0.25">
      <c r="C940" s="6"/>
      <c r="D940" s="6"/>
      <c r="E940" s="6"/>
      <c r="F940" s="6"/>
      <c r="G940" s="6"/>
    </row>
    <row r="941" spans="3:7" x14ac:dyDescent="0.25">
      <c r="C941" s="6"/>
      <c r="D941" s="6"/>
      <c r="E941" s="6"/>
      <c r="F941" s="6"/>
      <c r="G941" s="6"/>
    </row>
    <row r="942" spans="3:7" x14ac:dyDescent="0.25">
      <c r="C942" s="6"/>
      <c r="D942" s="6"/>
      <c r="E942" s="6"/>
      <c r="F942" s="6"/>
      <c r="G942" s="6"/>
    </row>
    <row r="943" spans="3:7" x14ac:dyDescent="0.25">
      <c r="C943" s="6"/>
      <c r="D943" s="6"/>
      <c r="E943" s="6"/>
      <c r="F943" s="6"/>
      <c r="G943" s="6"/>
    </row>
    <row r="944" spans="3:7" x14ac:dyDescent="0.25">
      <c r="C944" s="6"/>
      <c r="D944" s="6"/>
      <c r="E944" s="6"/>
      <c r="F944" s="6"/>
      <c r="G944" s="6"/>
    </row>
    <row r="945" spans="3:7" x14ac:dyDescent="0.25">
      <c r="C945" s="6"/>
      <c r="D945" s="6"/>
      <c r="E945" s="6"/>
      <c r="F945" s="6"/>
      <c r="G945" s="6"/>
    </row>
    <row r="946" spans="3:7" x14ac:dyDescent="0.25">
      <c r="C946" s="6"/>
      <c r="D946" s="6"/>
      <c r="E946" s="6"/>
      <c r="F946" s="6"/>
      <c r="G946" s="6"/>
    </row>
    <row r="947" spans="3:7" x14ac:dyDescent="0.25">
      <c r="C947" s="6"/>
      <c r="D947" s="6"/>
      <c r="E947" s="6"/>
      <c r="F947" s="6"/>
      <c r="G947" s="6"/>
    </row>
    <row r="948" spans="3:7" x14ac:dyDescent="0.25">
      <c r="C948" s="6"/>
      <c r="D948" s="6"/>
      <c r="E948" s="6"/>
      <c r="F948" s="6"/>
      <c r="G948" s="6"/>
    </row>
    <row r="949" spans="3:7" x14ac:dyDescent="0.25">
      <c r="C949" s="6"/>
      <c r="D949" s="6"/>
      <c r="E949" s="6"/>
      <c r="F949" s="6"/>
      <c r="G949" s="6"/>
    </row>
    <row r="950" spans="3:7" x14ac:dyDescent="0.25">
      <c r="C950" s="6"/>
      <c r="D950" s="6"/>
      <c r="E950" s="6"/>
      <c r="F950" s="6"/>
      <c r="G950" s="6"/>
    </row>
    <row r="951" spans="3:7" x14ac:dyDescent="0.25">
      <c r="C951" s="6"/>
      <c r="D951" s="6"/>
      <c r="E951" s="6"/>
      <c r="F951" s="6"/>
      <c r="G951" s="6"/>
    </row>
    <row r="952" spans="3:7" x14ac:dyDescent="0.25">
      <c r="C952" s="6"/>
      <c r="D952" s="6"/>
      <c r="E952" s="6"/>
      <c r="F952" s="6"/>
      <c r="G952" s="6"/>
    </row>
    <row r="953" spans="3:7" x14ac:dyDescent="0.25">
      <c r="C953" s="6"/>
      <c r="D953" s="6"/>
      <c r="E953" s="6"/>
      <c r="F953" s="6"/>
      <c r="G953" s="6"/>
    </row>
    <row r="954" spans="3:7" x14ac:dyDescent="0.25">
      <c r="C954" s="6"/>
      <c r="D954" s="6"/>
      <c r="E954" s="6"/>
      <c r="F954" s="6"/>
      <c r="G954" s="6"/>
    </row>
    <row r="955" spans="3:7" x14ac:dyDescent="0.25">
      <c r="C955" s="6"/>
      <c r="D955" s="6"/>
      <c r="E955" s="6"/>
      <c r="F955" s="6"/>
      <c r="G955" s="6"/>
    </row>
    <row r="956" spans="3:7" x14ac:dyDescent="0.25">
      <c r="C956" s="6"/>
      <c r="D956" s="6"/>
      <c r="E956" s="6"/>
      <c r="F956" s="6"/>
      <c r="G956" s="6"/>
    </row>
    <row r="957" spans="3:7" x14ac:dyDescent="0.25">
      <c r="C957" s="6"/>
      <c r="D957" s="6"/>
      <c r="E957" s="6"/>
      <c r="F957" s="6"/>
      <c r="G957" s="6"/>
    </row>
    <row r="958" spans="3:7" x14ac:dyDescent="0.25">
      <c r="C958" s="6"/>
      <c r="D958" s="6"/>
      <c r="E958" s="6"/>
      <c r="F958" s="6"/>
      <c r="G958" s="6"/>
    </row>
    <row r="959" spans="3:7" x14ac:dyDescent="0.25">
      <c r="C959" s="6"/>
      <c r="D959" s="6"/>
      <c r="E959" s="6"/>
      <c r="F959" s="6"/>
      <c r="G959" s="6"/>
    </row>
    <row r="960" spans="3:7" x14ac:dyDescent="0.25">
      <c r="C960" s="6"/>
      <c r="D960" s="6"/>
      <c r="E960" s="6"/>
      <c r="F960" s="6"/>
      <c r="G960" s="6"/>
    </row>
    <row r="961" spans="3:7" x14ac:dyDescent="0.25">
      <c r="C961" s="6"/>
      <c r="D961" s="6"/>
      <c r="E961" s="6"/>
      <c r="F961" s="6"/>
      <c r="G961" s="6"/>
    </row>
    <row r="962" spans="3:7" x14ac:dyDescent="0.25">
      <c r="C962" s="6"/>
      <c r="D962" s="6"/>
      <c r="E962" s="6"/>
      <c r="F962" s="6"/>
      <c r="G962" s="6"/>
    </row>
    <row r="963" spans="3:7" x14ac:dyDescent="0.25">
      <c r="C963" s="6"/>
      <c r="D963" s="6"/>
      <c r="E963" s="6"/>
      <c r="F963" s="6"/>
      <c r="G963" s="6"/>
    </row>
    <row r="964" spans="3:7" x14ac:dyDescent="0.25">
      <c r="C964" s="6"/>
      <c r="D964" s="6"/>
      <c r="E964" s="6"/>
      <c r="F964" s="6"/>
      <c r="G964" s="6"/>
    </row>
    <row r="965" spans="3:7" x14ac:dyDescent="0.25">
      <c r="C965" s="6"/>
      <c r="D965" s="6"/>
      <c r="E965" s="6"/>
      <c r="F965" s="6"/>
      <c r="G965" s="6"/>
    </row>
    <row r="966" spans="3:7" x14ac:dyDescent="0.25">
      <c r="C966" s="6"/>
      <c r="D966" s="6"/>
      <c r="E966" s="6"/>
      <c r="F966" s="6"/>
      <c r="G966" s="6"/>
    </row>
    <row r="967" spans="3:7" x14ac:dyDescent="0.25">
      <c r="C967" s="6"/>
      <c r="D967" s="6"/>
      <c r="E967" s="6"/>
      <c r="F967" s="6"/>
      <c r="G967" s="6"/>
    </row>
    <row r="968" spans="3:7" x14ac:dyDescent="0.25">
      <c r="C968" s="6"/>
      <c r="D968" s="6"/>
      <c r="E968" s="6"/>
      <c r="F968" s="6"/>
      <c r="G968" s="6"/>
    </row>
    <row r="969" spans="3:7" x14ac:dyDescent="0.25">
      <c r="C969" s="6"/>
      <c r="D969" s="6"/>
      <c r="E969" s="6"/>
      <c r="F969" s="6"/>
      <c r="G969" s="6"/>
    </row>
    <row r="970" spans="3:7" x14ac:dyDescent="0.25">
      <c r="C970" s="6"/>
      <c r="D970" s="6"/>
      <c r="E970" s="6"/>
      <c r="F970" s="6"/>
      <c r="G970" s="6"/>
    </row>
    <row r="971" spans="3:7" x14ac:dyDescent="0.25">
      <c r="C971" s="6"/>
      <c r="D971" s="6"/>
      <c r="E971" s="6"/>
      <c r="F971" s="6"/>
      <c r="G971" s="6"/>
    </row>
    <row r="972" spans="3:7" x14ac:dyDescent="0.25">
      <c r="C972" s="6"/>
      <c r="D972" s="6"/>
      <c r="E972" s="6"/>
      <c r="F972" s="6"/>
      <c r="G972" s="6"/>
    </row>
    <row r="973" spans="3:7" x14ac:dyDescent="0.25">
      <c r="C973" s="6"/>
      <c r="D973" s="6"/>
      <c r="E973" s="6"/>
      <c r="F973" s="6"/>
      <c r="G973" s="6"/>
    </row>
    <row r="974" spans="3:7" x14ac:dyDescent="0.25">
      <c r="C974" s="6"/>
      <c r="D974" s="6"/>
      <c r="E974" s="6"/>
      <c r="F974" s="6"/>
      <c r="G974" s="6"/>
    </row>
    <row r="975" spans="3:7" x14ac:dyDescent="0.25">
      <c r="C975" s="6"/>
      <c r="D975" s="6"/>
      <c r="E975" s="6"/>
      <c r="F975" s="6"/>
      <c r="G975" s="6"/>
    </row>
    <row r="976" spans="3:7" x14ac:dyDescent="0.25">
      <c r="C976" s="6"/>
      <c r="D976" s="6"/>
      <c r="E976" s="6"/>
      <c r="F976" s="6"/>
      <c r="G976" s="6"/>
    </row>
    <row r="977" spans="3:7" x14ac:dyDescent="0.25">
      <c r="C977" s="6"/>
      <c r="D977" s="6"/>
      <c r="E977" s="6"/>
      <c r="F977" s="6"/>
      <c r="G977" s="6"/>
    </row>
    <row r="978" spans="3:7" x14ac:dyDescent="0.25">
      <c r="C978" s="6"/>
      <c r="D978" s="6"/>
      <c r="E978" s="6"/>
      <c r="F978" s="6"/>
      <c r="G978" s="6"/>
    </row>
    <row r="979" spans="3:7" x14ac:dyDescent="0.25">
      <c r="C979" s="6"/>
      <c r="D979" s="6"/>
      <c r="E979" s="6"/>
      <c r="F979" s="6"/>
      <c r="G979" s="6"/>
    </row>
    <row r="980" spans="3:7" x14ac:dyDescent="0.25">
      <c r="C980" s="6"/>
      <c r="D980" s="6"/>
      <c r="E980" s="6"/>
      <c r="F980" s="6"/>
      <c r="G980" s="6"/>
    </row>
    <row r="981" spans="3:7" x14ac:dyDescent="0.25">
      <c r="C981" s="6"/>
      <c r="D981" s="6"/>
      <c r="E981" s="6"/>
      <c r="F981" s="6"/>
      <c r="G981" s="6"/>
    </row>
    <row r="982" spans="3:7" x14ac:dyDescent="0.25">
      <c r="C982" s="6"/>
      <c r="D982" s="6"/>
      <c r="E982" s="6"/>
      <c r="F982" s="6"/>
      <c r="G982" s="6"/>
    </row>
    <row r="983" spans="3:7" x14ac:dyDescent="0.25">
      <c r="C983" s="6"/>
      <c r="D983" s="6"/>
      <c r="E983" s="6"/>
      <c r="F983" s="6"/>
      <c r="G983" s="6"/>
    </row>
    <row r="984" spans="3:7" x14ac:dyDescent="0.25">
      <c r="C984" s="6"/>
      <c r="D984" s="6"/>
      <c r="E984" s="6"/>
      <c r="F984" s="6"/>
      <c r="G984" s="6"/>
    </row>
    <row r="985" spans="3:7" x14ac:dyDescent="0.25">
      <c r="C985" s="6"/>
      <c r="D985" s="6"/>
      <c r="E985" s="6"/>
      <c r="F985" s="6"/>
      <c r="G985" s="6"/>
    </row>
    <row r="986" spans="3:7" x14ac:dyDescent="0.25">
      <c r="C986" s="6"/>
      <c r="D986" s="6"/>
      <c r="E986" s="6"/>
      <c r="F986" s="6"/>
      <c r="G986" s="6"/>
    </row>
    <row r="987" spans="3:7" x14ac:dyDescent="0.25">
      <c r="C987" s="6"/>
      <c r="D987" s="6"/>
      <c r="E987" s="6"/>
      <c r="F987" s="6"/>
      <c r="G987" s="6"/>
    </row>
    <row r="988" spans="3:7" x14ac:dyDescent="0.25">
      <c r="C988" s="6"/>
      <c r="D988" s="6"/>
      <c r="E988" s="6"/>
      <c r="F988" s="6"/>
      <c r="G988" s="6"/>
    </row>
    <row r="989" spans="3:7" x14ac:dyDescent="0.25">
      <c r="C989" s="6"/>
      <c r="D989" s="6"/>
      <c r="E989" s="6"/>
      <c r="F989" s="6"/>
      <c r="G989" s="6"/>
    </row>
    <row r="990" spans="3:7" x14ac:dyDescent="0.25">
      <c r="C990" s="6"/>
      <c r="D990" s="6"/>
      <c r="E990" s="6"/>
      <c r="F990" s="6"/>
      <c r="G990" s="6"/>
    </row>
    <row r="991" spans="3:7" x14ac:dyDescent="0.25">
      <c r="C991" s="6"/>
      <c r="D991" s="6"/>
      <c r="E991" s="6"/>
      <c r="F991" s="6"/>
      <c r="G991" s="6"/>
    </row>
    <row r="992" spans="3:7" x14ac:dyDescent="0.25">
      <c r="C992" s="6"/>
      <c r="D992" s="6"/>
      <c r="E992" s="6"/>
      <c r="F992" s="6"/>
      <c r="G992" s="6"/>
    </row>
    <row r="993" spans="3:7" x14ac:dyDescent="0.25">
      <c r="C993" s="6"/>
      <c r="D993" s="6"/>
      <c r="E993" s="6"/>
      <c r="F993" s="6"/>
      <c r="G993" s="6"/>
    </row>
    <row r="994" spans="3:7" x14ac:dyDescent="0.25">
      <c r="C994" s="6"/>
      <c r="D994" s="6"/>
      <c r="E994" s="6"/>
      <c r="F994" s="6"/>
      <c r="G994" s="6"/>
    </row>
    <row r="995" spans="3:7" x14ac:dyDescent="0.25">
      <c r="C995" s="6"/>
      <c r="D995" s="6"/>
      <c r="E995" s="6"/>
      <c r="F995" s="6"/>
      <c r="G995" s="6"/>
    </row>
    <row r="996" spans="3:7" x14ac:dyDescent="0.25">
      <c r="C996" s="6"/>
      <c r="D996" s="6"/>
      <c r="E996" s="6"/>
      <c r="F996" s="6"/>
      <c r="G996" s="6"/>
    </row>
    <row r="997" spans="3:7" x14ac:dyDescent="0.25">
      <c r="C997" s="6"/>
      <c r="D997" s="6"/>
      <c r="E997" s="6"/>
      <c r="F997" s="6"/>
      <c r="G997" s="6"/>
    </row>
    <row r="998" spans="3:7" x14ac:dyDescent="0.25">
      <c r="C998" s="6"/>
      <c r="D998" s="6"/>
      <c r="E998" s="6"/>
      <c r="F998" s="6"/>
      <c r="G998" s="6"/>
    </row>
    <row r="999" spans="3:7" x14ac:dyDescent="0.25">
      <c r="C999" s="6"/>
      <c r="D999" s="6"/>
      <c r="E999" s="6"/>
      <c r="F999" s="6"/>
      <c r="G999" s="6"/>
    </row>
    <row r="1000" spans="3:7" x14ac:dyDescent="0.25">
      <c r="C1000" s="6"/>
      <c r="D1000" s="6"/>
      <c r="E1000" s="6"/>
      <c r="F1000" s="6"/>
      <c r="G1000" s="6"/>
    </row>
    <row r="1001" spans="3:7" x14ac:dyDescent="0.25">
      <c r="C1001" s="6"/>
      <c r="D1001" s="6"/>
      <c r="E1001" s="6"/>
      <c r="F1001" s="6"/>
      <c r="G1001" s="6"/>
    </row>
    <row r="1002" spans="3:7" x14ac:dyDescent="0.25">
      <c r="C1002" s="6"/>
      <c r="D1002" s="6"/>
      <c r="E1002" s="6"/>
      <c r="F1002" s="6"/>
      <c r="G1002" s="6"/>
    </row>
    <row r="1003" spans="3:7" x14ac:dyDescent="0.25">
      <c r="C1003" s="6"/>
      <c r="D1003" s="6"/>
      <c r="E1003" s="6"/>
      <c r="F1003" s="6"/>
      <c r="G1003" s="6"/>
    </row>
    <row r="1004" spans="3:7" x14ac:dyDescent="0.25">
      <c r="C1004" s="6"/>
      <c r="D1004" s="6"/>
      <c r="E1004" s="6"/>
      <c r="F1004" s="6"/>
      <c r="G1004" s="6"/>
    </row>
    <row r="1005" spans="3:7" x14ac:dyDescent="0.25">
      <c r="C1005" s="6"/>
      <c r="D1005" s="6"/>
      <c r="E1005" s="6"/>
      <c r="F1005" s="6"/>
      <c r="G1005" s="6"/>
    </row>
    <row r="1006" spans="3:7" x14ac:dyDescent="0.25">
      <c r="C1006" s="6"/>
      <c r="D1006" s="6"/>
      <c r="E1006" s="6"/>
      <c r="F1006" s="6"/>
      <c r="G1006" s="6"/>
    </row>
    <row r="1007" spans="3:7" x14ac:dyDescent="0.25">
      <c r="C1007" s="6"/>
      <c r="D1007" s="6"/>
      <c r="E1007" s="6"/>
      <c r="F1007" s="6"/>
      <c r="G1007" s="6"/>
    </row>
    <row r="1008" spans="3:7" x14ac:dyDescent="0.25">
      <c r="C1008" s="6"/>
      <c r="D1008" s="6"/>
      <c r="E1008" s="6"/>
      <c r="F1008" s="6"/>
      <c r="G1008" s="6"/>
    </row>
    <row r="1009" spans="3:7" x14ac:dyDescent="0.25">
      <c r="C1009" s="6"/>
      <c r="D1009" s="6"/>
      <c r="E1009" s="6"/>
      <c r="F1009" s="6"/>
      <c r="G1009" s="6"/>
    </row>
    <row r="1010" spans="3:7" x14ac:dyDescent="0.25">
      <c r="C1010" s="6"/>
      <c r="D1010" s="6"/>
      <c r="E1010" s="6"/>
      <c r="F1010" s="6"/>
      <c r="G1010" s="6"/>
    </row>
    <row r="1011" spans="3:7" x14ac:dyDescent="0.25">
      <c r="C1011" s="6"/>
      <c r="D1011" s="6"/>
      <c r="E1011" s="6"/>
      <c r="F1011" s="6"/>
      <c r="G1011" s="6"/>
    </row>
    <row r="1012" spans="3:7" x14ac:dyDescent="0.25">
      <c r="C1012" s="6"/>
      <c r="D1012" s="6"/>
      <c r="E1012" s="6"/>
      <c r="F1012" s="6"/>
      <c r="G1012" s="6"/>
    </row>
    <row r="1013" spans="3:7" x14ac:dyDescent="0.25">
      <c r="C1013" s="6"/>
      <c r="D1013" s="6"/>
      <c r="E1013" s="6"/>
      <c r="F1013" s="6"/>
      <c r="G1013" s="6"/>
    </row>
    <row r="1014" spans="3:7" x14ac:dyDescent="0.25">
      <c r="C1014" s="6"/>
      <c r="D1014" s="6"/>
      <c r="E1014" s="6"/>
      <c r="F1014" s="6"/>
      <c r="G1014" s="6"/>
    </row>
    <row r="1015" spans="3:7" x14ac:dyDescent="0.25">
      <c r="C1015" s="6"/>
      <c r="D1015" s="6"/>
      <c r="E1015" s="6"/>
      <c r="F1015" s="6"/>
      <c r="G1015" s="6"/>
    </row>
    <row r="1016" spans="3:7" x14ac:dyDescent="0.25">
      <c r="C1016" s="6"/>
      <c r="D1016" s="6"/>
      <c r="E1016" s="6"/>
      <c r="F1016" s="6"/>
      <c r="G1016" s="6"/>
    </row>
    <row r="1017" spans="3:7" x14ac:dyDescent="0.25">
      <c r="C1017" s="6"/>
      <c r="D1017" s="6"/>
      <c r="E1017" s="6"/>
      <c r="F1017" s="6"/>
      <c r="G1017" s="6"/>
    </row>
    <row r="1018" spans="3:7" x14ac:dyDescent="0.25">
      <c r="C1018" s="6"/>
      <c r="D1018" s="6"/>
      <c r="E1018" s="6"/>
      <c r="F1018" s="6"/>
      <c r="G1018" s="6"/>
    </row>
    <row r="1019" spans="3:7" x14ac:dyDescent="0.25">
      <c r="C1019" s="6"/>
      <c r="D1019" s="6"/>
      <c r="E1019" s="6"/>
      <c r="F1019" s="6"/>
      <c r="G1019" s="6"/>
    </row>
    <row r="1020" spans="3:7" x14ac:dyDescent="0.25">
      <c r="C1020" s="6"/>
      <c r="D1020" s="6"/>
      <c r="E1020" s="6"/>
      <c r="F1020" s="6"/>
      <c r="G1020" s="6"/>
    </row>
    <row r="1021" spans="3:7" x14ac:dyDescent="0.25">
      <c r="C1021" s="6"/>
      <c r="D1021" s="6"/>
      <c r="E1021" s="6"/>
      <c r="F1021" s="6"/>
      <c r="G1021" s="6"/>
    </row>
    <row r="1022" spans="3:7" x14ac:dyDescent="0.25">
      <c r="C1022" s="6"/>
      <c r="D1022" s="6"/>
      <c r="E1022" s="6"/>
      <c r="F1022" s="6"/>
      <c r="G1022" s="6"/>
    </row>
    <row r="1023" spans="3:7" x14ac:dyDescent="0.25">
      <c r="C1023" s="6"/>
      <c r="D1023" s="6"/>
      <c r="E1023" s="6"/>
      <c r="F1023" s="6"/>
      <c r="G1023" s="6"/>
    </row>
    <row r="1024" spans="3:7" x14ac:dyDescent="0.25">
      <c r="C1024" s="6"/>
      <c r="D1024" s="6"/>
      <c r="E1024" s="6"/>
      <c r="F1024" s="6"/>
      <c r="G1024" s="6"/>
    </row>
    <row r="1025" spans="3:7" x14ac:dyDescent="0.25">
      <c r="C1025" s="6"/>
      <c r="D1025" s="6"/>
      <c r="E1025" s="6"/>
      <c r="F1025" s="6"/>
      <c r="G1025" s="6"/>
    </row>
    <row r="1026" spans="3:7" x14ac:dyDescent="0.25">
      <c r="C1026" s="6"/>
      <c r="D1026" s="6"/>
      <c r="E1026" s="6"/>
      <c r="F1026" s="6"/>
      <c r="G1026" s="6"/>
    </row>
    <row r="1027" spans="3:7" x14ac:dyDescent="0.25">
      <c r="C1027" s="6"/>
      <c r="D1027" s="6"/>
      <c r="E1027" s="6"/>
      <c r="F1027" s="6"/>
      <c r="G1027" s="6"/>
    </row>
    <row r="1028" spans="3:7" x14ac:dyDescent="0.25">
      <c r="C1028" s="6"/>
      <c r="D1028" s="6"/>
      <c r="E1028" s="6"/>
      <c r="F1028" s="6"/>
      <c r="G1028" s="6"/>
    </row>
    <row r="1029" spans="3:7" x14ac:dyDescent="0.25">
      <c r="C1029" s="6"/>
      <c r="D1029" s="6"/>
      <c r="E1029" s="6"/>
      <c r="F1029" s="6"/>
      <c r="G1029" s="6"/>
    </row>
    <row r="1030" spans="3:7" x14ac:dyDescent="0.25">
      <c r="C1030" s="6"/>
      <c r="D1030" s="6"/>
      <c r="E1030" s="6"/>
      <c r="F1030" s="6"/>
      <c r="G1030" s="6"/>
    </row>
    <row r="1031" spans="3:7" x14ac:dyDescent="0.25">
      <c r="C1031" s="6"/>
      <c r="D1031" s="6"/>
      <c r="E1031" s="6"/>
      <c r="F1031" s="6"/>
      <c r="G1031" s="6"/>
    </row>
    <row r="1032" spans="3:7" x14ac:dyDescent="0.25">
      <c r="C1032" s="6"/>
      <c r="D1032" s="6"/>
      <c r="E1032" s="6"/>
      <c r="F1032" s="6"/>
      <c r="G1032" s="6"/>
    </row>
    <row r="1033" spans="3:7" x14ac:dyDescent="0.25">
      <c r="C1033" s="6"/>
      <c r="D1033" s="6"/>
      <c r="E1033" s="6"/>
      <c r="F1033" s="6"/>
      <c r="G1033" s="6"/>
    </row>
    <row r="1034" spans="3:7" x14ac:dyDescent="0.25">
      <c r="C1034" s="6"/>
      <c r="D1034" s="6"/>
      <c r="E1034" s="6"/>
      <c r="F1034" s="6"/>
      <c r="G1034" s="6"/>
    </row>
    <row r="1035" spans="3:7" x14ac:dyDescent="0.25">
      <c r="C1035" s="6"/>
      <c r="D1035" s="6"/>
      <c r="E1035" s="6"/>
      <c r="F1035" s="6"/>
      <c r="G1035" s="6"/>
    </row>
    <row r="1036" spans="3:7" x14ac:dyDescent="0.25">
      <c r="C1036" s="6"/>
      <c r="D1036" s="6"/>
      <c r="E1036" s="6"/>
      <c r="F1036" s="6"/>
      <c r="G1036" s="6"/>
    </row>
    <row r="1037" spans="3:7" x14ac:dyDescent="0.25">
      <c r="C1037" s="6"/>
      <c r="D1037" s="6"/>
      <c r="E1037" s="6"/>
      <c r="F1037" s="6"/>
      <c r="G1037" s="6"/>
    </row>
    <row r="1038" spans="3:7" x14ac:dyDescent="0.25">
      <c r="C1038" s="6"/>
      <c r="D1038" s="6"/>
      <c r="E1038" s="6"/>
      <c r="F1038" s="6"/>
      <c r="G1038" s="6"/>
    </row>
    <row r="1039" spans="3:7" x14ac:dyDescent="0.25">
      <c r="C1039" s="6"/>
      <c r="D1039" s="6"/>
      <c r="E1039" s="6"/>
      <c r="F1039" s="6"/>
      <c r="G1039" s="6"/>
    </row>
    <row r="1040" spans="3:7" x14ac:dyDescent="0.25">
      <c r="C1040" s="6"/>
      <c r="D1040" s="6"/>
      <c r="E1040" s="6"/>
      <c r="F1040" s="6"/>
      <c r="G1040" s="6"/>
    </row>
    <row r="1041" spans="3:7" x14ac:dyDescent="0.25">
      <c r="C1041" s="6"/>
      <c r="D1041" s="6"/>
      <c r="E1041" s="6"/>
      <c r="F1041" s="6"/>
      <c r="G1041" s="6"/>
    </row>
    <row r="1042" spans="3:7" x14ac:dyDescent="0.25">
      <c r="C1042" s="6"/>
      <c r="D1042" s="6"/>
      <c r="E1042" s="6"/>
      <c r="F1042" s="6"/>
      <c r="G1042" s="6"/>
    </row>
    <row r="1043" spans="3:7" x14ac:dyDescent="0.25">
      <c r="C1043" s="6"/>
      <c r="D1043" s="6"/>
      <c r="E1043" s="6"/>
      <c r="F1043" s="6"/>
      <c r="G1043" s="6"/>
    </row>
    <row r="1044" spans="3:7" x14ac:dyDescent="0.25">
      <c r="C1044" s="6"/>
      <c r="D1044" s="6"/>
      <c r="E1044" s="6"/>
      <c r="F1044" s="6"/>
      <c r="G1044" s="6"/>
    </row>
    <row r="1045" spans="3:7" x14ac:dyDescent="0.25">
      <c r="C1045" s="6"/>
      <c r="D1045" s="6"/>
      <c r="E1045" s="6"/>
      <c r="F1045" s="6"/>
      <c r="G1045" s="6"/>
    </row>
    <row r="1046" spans="3:7" x14ac:dyDescent="0.25">
      <c r="C1046" s="6"/>
      <c r="D1046" s="6"/>
      <c r="E1046" s="6"/>
      <c r="F1046" s="6"/>
      <c r="G1046" s="6"/>
    </row>
    <row r="1047" spans="3:7" x14ac:dyDescent="0.25">
      <c r="C1047" s="6"/>
      <c r="D1047" s="6"/>
      <c r="E1047" s="6"/>
      <c r="F1047" s="6"/>
      <c r="G1047" s="6"/>
    </row>
    <row r="1048" spans="3:7" x14ac:dyDescent="0.25">
      <c r="C1048" s="6"/>
      <c r="D1048" s="6"/>
      <c r="E1048" s="6"/>
      <c r="F1048" s="6"/>
      <c r="G1048" s="6"/>
    </row>
    <row r="1049" spans="3:7" x14ac:dyDescent="0.25">
      <c r="C1049" s="6"/>
      <c r="D1049" s="6"/>
      <c r="E1049" s="6"/>
      <c r="F1049" s="6"/>
      <c r="G1049" s="6"/>
    </row>
    <row r="1050" spans="3:7" x14ac:dyDescent="0.25">
      <c r="C1050" s="6"/>
      <c r="D1050" s="6"/>
      <c r="E1050" s="6"/>
      <c r="F1050" s="6"/>
      <c r="G1050" s="6"/>
    </row>
    <row r="1051" spans="3:7" x14ac:dyDescent="0.25">
      <c r="C1051" s="6"/>
      <c r="D1051" s="6"/>
      <c r="E1051" s="6"/>
      <c r="F1051" s="6"/>
      <c r="G1051" s="6"/>
    </row>
    <row r="1052" spans="3:7" x14ac:dyDescent="0.25">
      <c r="C1052" s="6"/>
      <c r="D1052" s="6"/>
      <c r="E1052" s="6"/>
      <c r="F1052" s="6"/>
      <c r="G1052" s="6"/>
    </row>
    <row r="1053" spans="3:7" x14ac:dyDescent="0.25">
      <c r="C1053" s="6"/>
      <c r="D1053" s="6"/>
      <c r="E1053" s="6"/>
      <c r="F1053" s="6"/>
      <c r="G1053" s="6"/>
    </row>
    <row r="1054" spans="3:7" x14ac:dyDescent="0.25">
      <c r="C1054" s="6"/>
      <c r="D1054" s="6"/>
      <c r="E1054" s="6"/>
      <c r="F1054" s="6"/>
      <c r="G1054" s="6"/>
    </row>
    <row r="1055" spans="3:7" x14ac:dyDescent="0.25">
      <c r="C1055" s="6"/>
      <c r="D1055" s="6"/>
      <c r="E1055" s="6"/>
      <c r="F1055" s="6"/>
      <c r="G1055" s="6"/>
    </row>
    <row r="1056" spans="3:7" x14ac:dyDescent="0.25">
      <c r="C1056" s="6"/>
      <c r="D1056" s="6"/>
      <c r="E1056" s="6"/>
      <c r="F1056" s="6"/>
      <c r="G1056" s="6"/>
    </row>
    <row r="1057" spans="3:7" x14ac:dyDescent="0.25">
      <c r="C1057" s="6"/>
      <c r="D1057" s="6"/>
      <c r="E1057" s="6"/>
      <c r="F1057" s="6"/>
      <c r="G1057" s="6"/>
    </row>
    <row r="1058" spans="3:7" x14ac:dyDescent="0.25">
      <c r="C1058" s="6"/>
      <c r="D1058" s="6"/>
      <c r="E1058" s="6"/>
      <c r="F1058" s="6"/>
      <c r="G1058" s="6"/>
    </row>
    <row r="1059" spans="3:7" x14ac:dyDescent="0.25">
      <c r="C1059" s="6"/>
      <c r="D1059" s="6"/>
      <c r="E1059" s="6"/>
      <c r="F1059" s="6"/>
      <c r="G1059" s="6"/>
    </row>
    <row r="1060" spans="3:7" x14ac:dyDescent="0.25">
      <c r="C1060" s="6"/>
      <c r="D1060" s="6"/>
      <c r="E1060" s="6"/>
      <c r="F1060" s="6"/>
      <c r="G1060" s="6"/>
    </row>
    <row r="1061" spans="3:7" x14ac:dyDescent="0.25">
      <c r="C1061" s="6"/>
      <c r="D1061" s="6"/>
      <c r="E1061" s="6"/>
      <c r="F1061" s="6"/>
      <c r="G1061" s="6"/>
    </row>
    <row r="1062" spans="3:7" x14ac:dyDescent="0.25">
      <c r="C1062" s="6"/>
      <c r="D1062" s="6"/>
      <c r="E1062" s="6"/>
      <c r="F1062" s="6"/>
      <c r="G1062" s="6"/>
    </row>
    <row r="1063" spans="3:7" x14ac:dyDescent="0.25">
      <c r="C1063" s="6"/>
      <c r="D1063" s="6"/>
      <c r="E1063" s="6"/>
      <c r="F1063" s="6"/>
      <c r="G1063" s="6"/>
    </row>
    <row r="1064" spans="3:7" x14ac:dyDescent="0.25">
      <c r="C1064" s="6"/>
      <c r="D1064" s="6"/>
      <c r="E1064" s="6"/>
      <c r="F1064" s="6"/>
      <c r="G1064" s="6"/>
    </row>
    <row r="1065" spans="3:7" x14ac:dyDescent="0.25">
      <c r="C1065" s="6"/>
      <c r="D1065" s="6"/>
      <c r="E1065" s="6"/>
      <c r="F1065" s="6"/>
      <c r="G1065" s="6"/>
    </row>
    <row r="1066" spans="3:7" x14ac:dyDescent="0.25">
      <c r="C1066" s="6"/>
      <c r="D1066" s="6"/>
      <c r="E1066" s="6"/>
      <c r="F1066" s="6"/>
      <c r="G1066" s="6"/>
    </row>
    <row r="1067" spans="3:7" x14ac:dyDescent="0.25">
      <c r="C1067" s="6"/>
      <c r="D1067" s="6"/>
      <c r="E1067" s="6"/>
      <c r="F1067" s="6"/>
      <c r="G1067" s="6"/>
    </row>
    <row r="1068" spans="3:7" x14ac:dyDescent="0.25">
      <c r="C1068" s="6"/>
      <c r="D1068" s="6"/>
      <c r="E1068" s="6"/>
      <c r="F1068" s="6"/>
      <c r="G1068" s="6"/>
    </row>
    <row r="1069" spans="3:7" x14ac:dyDescent="0.25">
      <c r="C1069" s="6"/>
      <c r="D1069" s="6"/>
      <c r="E1069" s="6"/>
      <c r="F1069" s="6"/>
      <c r="G1069" s="6"/>
    </row>
    <row r="1070" spans="3:7" x14ac:dyDescent="0.25">
      <c r="C1070" s="6"/>
      <c r="D1070" s="6"/>
      <c r="E1070" s="6"/>
      <c r="F1070" s="6"/>
      <c r="G1070" s="6"/>
    </row>
    <row r="1071" spans="3:7" x14ac:dyDescent="0.25">
      <c r="C1071" s="6"/>
      <c r="D1071" s="6"/>
      <c r="E1071" s="6"/>
      <c r="F1071" s="6"/>
      <c r="G1071" s="6"/>
    </row>
    <row r="1072" spans="3:7" x14ac:dyDescent="0.25">
      <c r="C1072" s="6"/>
      <c r="D1072" s="6"/>
      <c r="E1072" s="6"/>
      <c r="F1072" s="6"/>
      <c r="G1072" s="6"/>
    </row>
    <row r="1073" spans="3:7" x14ac:dyDescent="0.25">
      <c r="C1073" s="6"/>
      <c r="D1073" s="6"/>
      <c r="E1073" s="6"/>
      <c r="F1073" s="6"/>
      <c r="G1073" s="6"/>
    </row>
    <row r="1074" spans="3:7" x14ac:dyDescent="0.25">
      <c r="C1074" s="6"/>
      <c r="D1074" s="6"/>
      <c r="E1074" s="6"/>
      <c r="F1074" s="6"/>
      <c r="G1074" s="6"/>
    </row>
    <row r="1075" spans="3:7" x14ac:dyDescent="0.25">
      <c r="C1075" s="6"/>
      <c r="D1075" s="6"/>
      <c r="E1075" s="6"/>
      <c r="F1075" s="6"/>
      <c r="G1075" s="6"/>
    </row>
    <row r="1076" spans="3:7" x14ac:dyDescent="0.25">
      <c r="C1076" s="6"/>
      <c r="D1076" s="6"/>
      <c r="E1076" s="6"/>
      <c r="F1076" s="6"/>
      <c r="G1076" s="6"/>
    </row>
    <row r="1077" spans="3:7" x14ac:dyDescent="0.25">
      <c r="C1077" s="6"/>
      <c r="D1077" s="6"/>
      <c r="E1077" s="6"/>
      <c r="F1077" s="6"/>
      <c r="G1077" s="6"/>
    </row>
    <row r="1078" spans="3:7" x14ac:dyDescent="0.25">
      <c r="C1078" s="6"/>
      <c r="D1078" s="6"/>
      <c r="E1078" s="6"/>
      <c r="F1078" s="6"/>
      <c r="G1078" s="6"/>
    </row>
    <row r="1079" spans="3:7" x14ac:dyDescent="0.25">
      <c r="C1079" s="6"/>
      <c r="D1079" s="6"/>
      <c r="E1079" s="6"/>
      <c r="F1079" s="6"/>
      <c r="G1079" s="6"/>
    </row>
    <row r="1080" spans="3:7" x14ac:dyDescent="0.25">
      <c r="C1080" s="6"/>
      <c r="D1080" s="6"/>
      <c r="E1080" s="6"/>
      <c r="F1080" s="6"/>
      <c r="G1080" s="6"/>
    </row>
    <row r="1081" spans="3:7" x14ac:dyDescent="0.25">
      <c r="C1081" s="6"/>
      <c r="D1081" s="6"/>
      <c r="E1081" s="6"/>
      <c r="F1081" s="6"/>
      <c r="G1081" s="6"/>
    </row>
    <row r="1082" spans="3:7" x14ac:dyDescent="0.25">
      <c r="C1082" s="6"/>
      <c r="D1082" s="6"/>
      <c r="E1082" s="6"/>
      <c r="F1082" s="6"/>
      <c r="G1082" s="6"/>
    </row>
    <row r="1083" spans="3:7" x14ac:dyDescent="0.25">
      <c r="C1083" s="6"/>
      <c r="D1083" s="6"/>
      <c r="E1083" s="6"/>
      <c r="F1083" s="6"/>
      <c r="G1083" s="6"/>
    </row>
    <row r="1084" spans="3:7" x14ac:dyDescent="0.25">
      <c r="C1084" s="6"/>
      <c r="D1084" s="6"/>
      <c r="E1084" s="6"/>
      <c r="F1084" s="6"/>
      <c r="G1084" s="6"/>
    </row>
    <row r="1085" spans="3:7" x14ac:dyDescent="0.25">
      <c r="C1085" s="6"/>
      <c r="D1085" s="6"/>
      <c r="E1085" s="6"/>
      <c r="F1085" s="6"/>
      <c r="G1085" s="6"/>
    </row>
    <row r="1086" spans="3:7" x14ac:dyDescent="0.25">
      <c r="C1086" s="6"/>
      <c r="D1086" s="6"/>
      <c r="E1086" s="6"/>
      <c r="F1086" s="6"/>
      <c r="G1086" s="6"/>
    </row>
    <row r="1087" spans="3:7" x14ac:dyDescent="0.25">
      <c r="C1087" s="6"/>
      <c r="D1087" s="6"/>
      <c r="E1087" s="6"/>
      <c r="F1087" s="6"/>
      <c r="G1087" s="6"/>
    </row>
    <row r="1088" spans="3:7" x14ac:dyDescent="0.25">
      <c r="C1088" s="6"/>
      <c r="D1088" s="6"/>
      <c r="E1088" s="6"/>
      <c r="F1088" s="6"/>
      <c r="G1088" s="6"/>
    </row>
    <row r="1089" spans="3:7" x14ac:dyDescent="0.25">
      <c r="C1089" s="6"/>
      <c r="D1089" s="6"/>
      <c r="E1089" s="6"/>
      <c r="F1089" s="6"/>
      <c r="G1089" s="6"/>
    </row>
    <row r="1090" spans="3:7" x14ac:dyDescent="0.25">
      <c r="C1090" s="6"/>
      <c r="D1090" s="6"/>
      <c r="E1090" s="6"/>
      <c r="F1090" s="6"/>
      <c r="G1090" s="6"/>
    </row>
    <row r="1091" spans="3:7" x14ac:dyDescent="0.25">
      <c r="C1091" s="6"/>
      <c r="D1091" s="6"/>
      <c r="E1091" s="6"/>
      <c r="F1091" s="6"/>
      <c r="G1091" s="6"/>
    </row>
    <row r="1092" spans="3:7" x14ac:dyDescent="0.25">
      <c r="C1092" s="6"/>
      <c r="D1092" s="6"/>
      <c r="E1092" s="6"/>
      <c r="F1092" s="6"/>
      <c r="G1092" s="6"/>
    </row>
    <row r="1093" spans="3:7" x14ac:dyDescent="0.25">
      <c r="C1093" s="6"/>
      <c r="D1093" s="6"/>
      <c r="E1093" s="6"/>
      <c r="F1093" s="6"/>
      <c r="G1093" s="6"/>
    </row>
    <row r="1094" spans="3:7" x14ac:dyDescent="0.25">
      <c r="C1094" s="6"/>
      <c r="D1094" s="6"/>
      <c r="E1094" s="6"/>
      <c r="F1094" s="6"/>
      <c r="G1094" s="6"/>
    </row>
    <row r="1095" spans="3:7" x14ac:dyDescent="0.25">
      <c r="C1095" s="6"/>
      <c r="D1095" s="6"/>
      <c r="E1095" s="6"/>
      <c r="F1095" s="6"/>
      <c r="G1095" s="6"/>
    </row>
    <row r="1096" spans="3:7" x14ac:dyDescent="0.25">
      <c r="C1096" s="6"/>
      <c r="D1096" s="6"/>
      <c r="E1096" s="6"/>
      <c r="F1096" s="6"/>
      <c r="G1096" s="6"/>
    </row>
    <row r="1097" spans="3:7" x14ac:dyDescent="0.25">
      <c r="C1097" s="6"/>
      <c r="D1097" s="6"/>
      <c r="E1097" s="6"/>
      <c r="F1097" s="6"/>
      <c r="G1097" s="6"/>
    </row>
    <row r="1098" spans="3:7" x14ac:dyDescent="0.25">
      <c r="C1098" s="6"/>
      <c r="D1098" s="6"/>
      <c r="E1098" s="6"/>
      <c r="F1098" s="6"/>
      <c r="G1098" s="6"/>
    </row>
    <row r="1099" spans="3:7" x14ac:dyDescent="0.25">
      <c r="C1099" s="6"/>
      <c r="D1099" s="6"/>
      <c r="E1099" s="6"/>
      <c r="F1099" s="6"/>
      <c r="G1099" s="6"/>
    </row>
    <row r="1100" spans="3:7" x14ac:dyDescent="0.25">
      <c r="C1100" s="6"/>
      <c r="D1100" s="6"/>
      <c r="E1100" s="6"/>
      <c r="F1100" s="6"/>
      <c r="G1100" s="6"/>
    </row>
    <row r="1101" spans="3:7" x14ac:dyDescent="0.25">
      <c r="C1101" s="6"/>
      <c r="D1101" s="6"/>
      <c r="E1101" s="6"/>
      <c r="F1101" s="6"/>
      <c r="G1101" s="6"/>
    </row>
    <row r="1102" spans="3:7" x14ac:dyDescent="0.25">
      <c r="C1102" s="6"/>
      <c r="D1102" s="6"/>
      <c r="E1102" s="6"/>
      <c r="F1102" s="6"/>
      <c r="G1102" s="6"/>
    </row>
    <row r="1103" spans="3:7" x14ac:dyDescent="0.25">
      <c r="C1103" s="6"/>
      <c r="D1103" s="6"/>
      <c r="E1103" s="6"/>
      <c r="F1103" s="6"/>
      <c r="G1103" s="6"/>
    </row>
    <row r="1104" spans="3:7" x14ac:dyDescent="0.25">
      <c r="C1104" s="6"/>
      <c r="D1104" s="6"/>
      <c r="E1104" s="6"/>
      <c r="F1104" s="6"/>
      <c r="G1104" s="6"/>
    </row>
    <row r="1105" spans="3:7" x14ac:dyDescent="0.25">
      <c r="C1105" s="6"/>
      <c r="D1105" s="6"/>
      <c r="E1105" s="6"/>
      <c r="F1105" s="6"/>
      <c r="G1105" s="6"/>
    </row>
    <row r="1106" spans="3:7" x14ac:dyDescent="0.25">
      <c r="C1106" s="6"/>
      <c r="D1106" s="6"/>
      <c r="E1106" s="6"/>
      <c r="F1106" s="6"/>
      <c r="G1106" s="6"/>
    </row>
    <row r="1107" spans="3:7" x14ac:dyDescent="0.25">
      <c r="C1107" s="6"/>
      <c r="D1107" s="6"/>
      <c r="E1107" s="6"/>
      <c r="F1107" s="6"/>
      <c r="G1107" s="6"/>
    </row>
    <row r="1108" spans="3:7" x14ac:dyDescent="0.25">
      <c r="C1108" s="6"/>
      <c r="D1108" s="6"/>
      <c r="E1108" s="6"/>
      <c r="F1108" s="6"/>
      <c r="G1108" s="6"/>
    </row>
    <row r="1109" spans="3:7" x14ac:dyDescent="0.25">
      <c r="C1109" s="6"/>
      <c r="D1109" s="6"/>
      <c r="E1109" s="6"/>
      <c r="F1109" s="6"/>
      <c r="G1109" s="6"/>
    </row>
    <row r="1110" spans="3:7" x14ac:dyDescent="0.25">
      <c r="C1110" s="6"/>
      <c r="D1110" s="6"/>
      <c r="E1110" s="6"/>
      <c r="F1110" s="6"/>
      <c r="G1110" s="6"/>
    </row>
    <row r="1111" spans="3:7" x14ac:dyDescent="0.25">
      <c r="C1111" s="6"/>
      <c r="D1111" s="6"/>
      <c r="E1111" s="6"/>
      <c r="F1111" s="6"/>
      <c r="G1111" s="6"/>
    </row>
    <row r="1112" spans="3:7" x14ac:dyDescent="0.25">
      <c r="C1112" s="6"/>
      <c r="D1112" s="6"/>
      <c r="E1112" s="6"/>
      <c r="F1112" s="6"/>
      <c r="G1112" s="6"/>
    </row>
    <row r="1113" spans="3:7" x14ac:dyDescent="0.25">
      <c r="C1113" s="6"/>
      <c r="D1113" s="6"/>
      <c r="E1113" s="6"/>
      <c r="F1113" s="6"/>
      <c r="G1113" s="6"/>
    </row>
    <row r="1114" spans="3:7" x14ac:dyDescent="0.25">
      <c r="C1114" s="6"/>
      <c r="D1114" s="6"/>
      <c r="E1114" s="6"/>
      <c r="F1114" s="6"/>
      <c r="G1114" s="6"/>
    </row>
    <row r="1115" spans="3:7" x14ac:dyDescent="0.25">
      <c r="C1115" s="6"/>
      <c r="D1115" s="6"/>
      <c r="E1115" s="6"/>
      <c r="F1115" s="6"/>
      <c r="G1115" s="6"/>
    </row>
    <row r="1116" spans="3:7" x14ac:dyDescent="0.25">
      <c r="C1116" s="6"/>
      <c r="D1116" s="6"/>
      <c r="E1116" s="6"/>
      <c r="F1116" s="6"/>
      <c r="G1116" s="6"/>
    </row>
    <row r="1117" spans="3:7" x14ac:dyDescent="0.25">
      <c r="C1117" s="6"/>
      <c r="D1117" s="6"/>
      <c r="E1117" s="6"/>
      <c r="F1117" s="6"/>
      <c r="G1117" s="6"/>
    </row>
    <row r="1118" spans="3:7" x14ac:dyDescent="0.25">
      <c r="C1118" s="6"/>
      <c r="D1118" s="6"/>
      <c r="E1118" s="6"/>
      <c r="F1118" s="6"/>
      <c r="G1118" s="6"/>
    </row>
    <row r="1119" spans="3:7" x14ac:dyDescent="0.25">
      <c r="C1119" s="6"/>
      <c r="D1119" s="6"/>
      <c r="E1119" s="6"/>
      <c r="F1119" s="6"/>
      <c r="G1119" s="6"/>
    </row>
    <row r="1120" spans="3:7" x14ac:dyDescent="0.25">
      <c r="C1120" s="6"/>
      <c r="D1120" s="6"/>
      <c r="E1120" s="6"/>
      <c r="F1120" s="6"/>
      <c r="G1120" s="6"/>
    </row>
    <row r="1121" spans="3:7" x14ac:dyDescent="0.25">
      <c r="C1121" s="6"/>
      <c r="D1121" s="6"/>
      <c r="E1121" s="6"/>
      <c r="F1121" s="6"/>
      <c r="G1121" s="6"/>
    </row>
    <row r="1122" spans="3:7" x14ac:dyDescent="0.25">
      <c r="C1122" s="6"/>
      <c r="D1122" s="6"/>
      <c r="E1122" s="6"/>
      <c r="F1122" s="6"/>
      <c r="G1122" s="6"/>
    </row>
    <row r="1123" spans="3:7" x14ac:dyDescent="0.25">
      <c r="C1123" s="6"/>
      <c r="D1123" s="6"/>
      <c r="E1123" s="6"/>
      <c r="F1123" s="6"/>
      <c r="G1123" s="6"/>
    </row>
    <row r="1124" spans="3:7" x14ac:dyDescent="0.25">
      <c r="C1124" s="6"/>
      <c r="D1124" s="6"/>
      <c r="E1124" s="6"/>
      <c r="F1124" s="6"/>
      <c r="G1124" s="6"/>
    </row>
    <row r="1125" spans="3:7" x14ac:dyDescent="0.25">
      <c r="C1125" s="6"/>
      <c r="D1125" s="6"/>
      <c r="E1125" s="6"/>
      <c r="F1125" s="6"/>
      <c r="G1125" s="6"/>
    </row>
    <row r="1126" spans="3:7" x14ac:dyDescent="0.25">
      <c r="C1126" s="6"/>
      <c r="D1126" s="6"/>
      <c r="E1126" s="6"/>
      <c r="F1126" s="6"/>
      <c r="G1126" s="6"/>
    </row>
    <row r="1127" spans="3:7" x14ac:dyDescent="0.25">
      <c r="C1127" s="6"/>
      <c r="D1127" s="6"/>
      <c r="E1127" s="6"/>
      <c r="F1127" s="6"/>
      <c r="G1127" s="6"/>
    </row>
    <row r="1128" spans="3:7" x14ac:dyDescent="0.25">
      <c r="C1128" s="6"/>
      <c r="D1128" s="6"/>
      <c r="E1128" s="6"/>
      <c r="F1128" s="6"/>
      <c r="G1128" s="6"/>
    </row>
    <row r="1129" spans="3:7" x14ac:dyDescent="0.25">
      <c r="C1129" s="6"/>
      <c r="D1129" s="6"/>
      <c r="E1129" s="6"/>
      <c r="F1129" s="6"/>
      <c r="G1129" s="6"/>
    </row>
    <row r="1130" spans="3:7" x14ac:dyDescent="0.25">
      <c r="C1130" s="6"/>
      <c r="D1130" s="6"/>
      <c r="E1130" s="6"/>
      <c r="F1130" s="6"/>
      <c r="G1130" s="6"/>
    </row>
    <row r="1131" spans="3:7" x14ac:dyDescent="0.25">
      <c r="C1131" s="6"/>
      <c r="D1131" s="6"/>
      <c r="E1131" s="6"/>
      <c r="F1131" s="6"/>
      <c r="G1131" s="6"/>
    </row>
    <row r="1132" spans="3:7" x14ac:dyDescent="0.25">
      <c r="C1132" s="6"/>
      <c r="D1132" s="6"/>
      <c r="E1132" s="6"/>
      <c r="F1132" s="6"/>
      <c r="G1132" s="6"/>
    </row>
    <row r="1133" spans="3:7" x14ac:dyDescent="0.25">
      <c r="C1133" s="6"/>
      <c r="D1133" s="6"/>
      <c r="E1133" s="6"/>
      <c r="F1133" s="6"/>
      <c r="G1133" s="6"/>
    </row>
    <row r="1134" spans="3:7" x14ac:dyDescent="0.25">
      <c r="C1134" s="6"/>
      <c r="D1134" s="6"/>
      <c r="E1134" s="6"/>
      <c r="F1134" s="6"/>
      <c r="G1134" s="6"/>
    </row>
    <row r="1135" spans="3:7" x14ac:dyDescent="0.25">
      <c r="C1135" s="6"/>
      <c r="D1135" s="6"/>
      <c r="E1135" s="6"/>
      <c r="F1135" s="6"/>
      <c r="G1135" s="6"/>
    </row>
    <row r="1136" spans="3:7" x14ac:dyDescent="0.25">
      <c r="C1136" s="6"/>
      <c r="D1136" s="6"/>
      <c r="E1136" s="6"/>
      <c r="F1136" s="6"/>
      <c r="G1136" s="6"/>
    </row>
    <row r="1137" spans="3:7" x14ac:dyDescent="0.25">
      <c r="C1137" s="6"/>
      <c r="D1137" s="6"/>
      <c r="E1137" s="6"/>
      <c r="F1137" s="6"/>
      <c r="G1137" s="6"/>
    </row>
    <row r="1138" spans="3:7" x14ac:dyDescent="0.25">
      <c r="C1138" s="6"/>
      <c r="D1138" s="6"/>
      <c r="E1138" s="6"/>
      <c r="F1138" s="6"/>
      <c r="G1138" s="6"/>
    </row>
    <row r="1139" spans="3:7" x14ac:dyDescent="0.25">
      <c r="C1139" s="6"/>
      <c r="D1139" s="6"/>
      <c r="E1139" s="6"/>
      <c r="F1139" s="6"/>
      <c r="G1139" s="6"/>
    </row>
    <row r="1140" spans="3:7" x14ac:dyDescent="0.25">
      <c r="C1140" s="6"/>
      <c r="D1140" s="6"/>
      <c r="E1140" s="6"/>
      <c r="F1140" s="6"/>
      <c r="G1140" s="6"/>
    </row>
    <row r="1141" spans="3:7" x14ac:dyDescent="0.25">
      <c r="C1141" s="6"/>
      <c r="D1141" s="6"/>
      <c r="E1141" s="6"/>
      <c r="F1141" s="6"/>
      <c r="G1141" s="6"/>
    </row>
    <row r="1142" spans="3:7" x14ac:dyDescent="0.25">
      <c r="C1142" s="6"/>
      <c r="D1142" s="6"/>
      <c r="E1142" s="6"/>
      <c r="F1142" s="6"/>
      <c r="G1142" s="6"/>
    </row>
    <row r="1143" spans="3:7" x14ac:dyDescent="0.25">
      <c r="C1143" s="6"/>
      <c r="D1143" s="6"/>
      <c r="E1143" s="6"/>
      <c r="F1143" s="6"/>
      <c r="G1143" s="6"/>
    </row>
    <row r="1144" spans="3:7" x14ac:dyDescent="0.25">
      <c r="C1144" s="6"/>
      <c r="D1144" s="6"/>
      <c r="E1144" s="6"/>
      <c r="F1144" s="6"/>
      <c r="G1144" s="6"/>
    </row>
    <row r="1145" spans="3:7" x14ac:dyDescent="0.25">
      <c r="C1145" s="6"/>
      <c r="D1145" s="6"/>
      <c r="E1145" s="6"/>
      <c r="F1145" s="6"/>
      <c r="G1145" s="6"/>
    </row>
    <row r="1146" spans="3:7" x14ac:dyDescent="0.25">
      <c r="C1146" s="6"/>
      <c r="D1146" s="6"/>
      <c r="E1146" s="6"/>
      <c r="F1146" s="6"/>
      <c r="G1146" s="6"/>
    </row>
    <row r="1147" spans="3:7" x14ac:dyDescent="0.25">
      <c r="C1147" s="6"/>
      <c r="D1147" s="6"/>
      <c r="E1147" s="6"/>
      <c r="F1147" s="6"/>
      <c r="G1147" s="6"/>
    </row>
    <row r="1148" spans="3:7" x14ac:dyDescent="0.25">
      <c r="C1148" s="6"/>
      <c r="D1148" s="6"/>
      <c r="E1148" s="6"/>
      <c r="F1148" s="6"/>
      <c r="G1148" s="6"/>
    </row>
    <row r="1149" spans="3:7" x14ac:dyDescent="0.25">
      <c r="C1149" s="6"/>
      <c r="D1149" s="6"/>
      <c r="E1149" s="6"/>
      <c r="F1149" s="6"/>
      <c r="G1149" s="6"/>
    </row>
    <row r="1150" spans="3:7" x14ac:dyDescent="0.25">
      <c r="C1150" s="6"/>
      <c r="D1150" s="6"/>
      <c r="E1150" s="6"/>
      <c r="F1150" s="6"/>
      <c r="G1150" s="6"/>
    </row>
    <row r="1151" spans="3:7" x14ac:dyDescent="0.25">
      <c r="C1151" s="6"/>
      <c r="D1151" s="6"/>
      <c r="E1151" s="6"/>
      <c r="F1151" s="6"/>
      <c r="G1151" s="6"/>
    </row>
    <row r="1152" spans="3:7" x14ac:dyDescent="0.25">
      <c r="C1152" s="6"/>
      <c r="D1152" s="6"/>
      <c r="E1152" s="6"/>
      <c r="F1152" s="6"/>
      <c r="G1152" s="6"/>
    </row>
    <row r="1153" spans="3:7" x14ac:dyDescent="0.25">
      <c r="C1153" s="6"/>
      <c r="D1153" s="6"/>
      <c r="E1153" s="6"/>
      <c r="F1153" s="6"/>
      <c r="G1153" s="6"/>
    </row>
    <row r="1154" spans="3:7" x14ac:dyDescent="0.25">
      <c r="C1154" s="6"/>
      <c r="D1154" s="6"/>
      <c r="E1154" s="6"/>
      <c r="F1154" s="6"/>
      <c r="G1154" s="6"/>
    </row>
    <row r="1155" spans="3:7" x14ac:dyDescent="0.25">
      <c r="C1155" s="6"/>
      <c r="D1155" s="6"/>
      <c r="E1155" s="6"/>
      <c r="F1155" s="6"/>
      <c r="G1155" s="6"/>
    </row>
    <row r="1156" spans="3:7" x14ac:dyDescent="0.25">
      <c r="C1156" s="6"/>
      <c r="D1156" s="6"/>
      <c r="E1156" s="6"/>
      <c r="F1156" s="6"/>
      <c r="G1156" s="6"/>
    </row>
    <row r="1157" spans="3:7" x14ac:dyDescent="0.25">
      <c r="C1157" s="6"/>
      <c r="D1157" s="6"/>
      <c r="E1157" s="6"/>
      <c r="F1157" s="6"/>
      <c r="G1157" s="6"/>
    </row>
    <row r="1158" spans="3:7" x14ac:dyDescent="0.25">
      <c r="C1158" s="6"/>
      <c r="D1158" s="6"/>
      <c r="E1158" s="6"/>
      <c r="F1158" s="6"/>
      <c r="G1158" s="6"/>
    </row>
    <row r="1159" spans="3:7" x14ac:dyDescent="0.25">
      <c r="C1159" s="6"/>
      <c r="D1159" s="6"/>
      <c r="E1159" s="6"/>
      <c r="F1159" s="6"/>
      <c r="G1159" s="6"/>
    </row>
    <row r="1160" spans="3:7" x14ac:dyDescent="0.25">
      <c r="C1160" s="6"/>
      <c r="D1160" s="6"/>
      <c r="E1160" s="6"/>
      <c r="F1160" s="6"/>
      <c r="G1160" s="6"/>
    </row>
    <row r="1161" spans="3:7" x14ac:dyDescent="0.25">
      <c r="C1161" s="6"/>
      <c r="D1161" s="6"/>
      <c r="E1161" s="6"/>
      <c r="F1161" s="6"/>
      <c r="G1161" s="6"/>
    </row>
    <row r="1162" spans="3:7" x14ac:dyDescent="0.25">
      <c r="C1162" s="6"/>
      <c r="D1162" s="6"/>
      <c r="E1162" s="6"/>
      <c r="F1162" s="6"/>
      <c r="G1162" s="6"/>
    </row>
    <row r="1163" spans="3:7" x14ac:dyDescent="0.25">
      <c r="C1163" s="6"/>
      <c r="D1163" s="6"/>
      <c r="E1163" s="6"/>
      <c r="F1163" s="6"/>
      <c r="G1163" s="6"/>
    </row>
    <row r="1164" spans="3:7" x14ac:dyDescent="0.25">
      <c r="C1164" s="6"/>
      <c r="D1164" s="6"/>
      <c r="E1164" s="6"/>
      <c r="F1164" s="6"/>
      <c r="G1164" s="6"/>
    </row>
    <row r="1165" spans="3:7" x14ac:dyDescent="0.25">
      <c r="C1165" s="6"/>
      <c r="D1165" s="6"/>
      <c r="E1165" s="6"/>
      <c r="F1165" s="6"/>
      <c r="G1165" s="6"/>
    </row>
    <row r="1166" spans="3:7" x14ac:dyDescent="0.25">
      <c r="C1166" s="6"/>
      <c r="D1166" s="6"/>
      <c r="E1166" s="6"/>
      <c r="F1166" s="6"/>
      <c r="G1166" s="6"/>
    </row>
    <row r="1167" spans="3:7" x14ac:dyDescent="0.25">
      <c r="C1167" s="6"/>
      <c r="D1167" s="6"/>
      <c r="E1167" s="6"/>
      <c r="F1167" s="6"/>
      <c r="G1167" s="6"/>
    </row>
    <row r="1168" spans="3:7" x14ac:dyDescent="0.25">
      <c r="C1168" s="6"/>
      <c r="D1168" s="6"/>
      <c r="E1168" s="6"/>
      <c r="F1168" s="6"/>
      <c r="G1168" s="6"/>
    </row>
    <row r="1169" spans="3:7" x14ac:dyDescent="0.25">
      <c r="C1169" s="6"/>
      <c r="D1169" s="6"/>
      <c r="E1169" s="6"/>
      <c r="F1169" s="6"/>
      <c r="G1169" s="6"/>
    </row>
    <row r="1170" spans="3:7" x14ac:dyDescent="0.25">
      <c r="C1170" s="6"/>
      <c r="D1170" s="6"/>
      <c r="E1170" s="6"/>
      <c r="F1170" s="6"/>
      <c r="G1170" s="6"/>
    </row>
    <row r="1171" spans="3:7" x14ac:dyDescent="0.25">
      <c r="C1171" s="6"/>
      <c r="D1171" s="6"/>
      <c r="E1171" s="6"/>
      <c r="F1171" s="6"/>
      <c r="G1171" s="6"/>
    </row>
    <row r="1172" spans="3:7" x14ac:dyDescent="0.25">
      <c r="C1172" s="6"/>
      <c r="D1172" s="6"/>
      <c r="E1172" s="6"/>
      <c r="F1172" s="6"/>
      <c r="G1172" s="6"/>
    </row>
    <row r="1173" spans="3:7" x14ac:dyDescent="0.25">
      <c r="C1173" s="6"/>
      <c r="D1173" s="6"/>
      <c r="E1173" s="6"/>
      <c r="F1173" s="6"/>
      <c r="G1173" s="6"/>
    </row>
    <row r="1174" spans="3:7" x14ac:dyDescent="0.25">
      <c r="C1174" s="6"/>
      <c r="D1174" s="6"/>
      <c r="E1174" s="6"/>
      <c r="F1174" s="6"/>
      <c r="G1174" s="6"/>
    </row>
    <row r="1175" spans="3:7" x14ac:dyDescent="0.25">
      <c r="C1175" s="6"/>
      <c r="D1175" s="6"/>
      <c r="E1175" s="6"/>
      <c r="F1175" s="6"/>
      <c r="G1175" s="6"/>
    </row>
    <row r="1176" spans="3:7" x14ac:dyDescent="0.25">
      <c r="C1176" s="6"/>
      <c r="D1176" s="6"/>
      <c r="E1176" s="6"/>
      <c r="F1176" s="6"/>
      <c r="G1176" s="6"/>
    </row>
    <row r="1177" spans="3:7" x14ac:dyDescent="0.25">
      <c r="C1177" s="6"/>
      <c r="D1177" s="6"/>
      <c r="E1177" s="6"/>
      <c r="F1177" s="6"/>
      <c r="G1177" s="6"/>
    </row>
    <row r="1178" spans="3:7" x14ac:dyDescent="0.25">
      <c r="C1178" s="6"/>
      <c r="D1178" s="6"/>
      <c r="E1178" s="6"/>
      <c r="F1178" s="6"/>
      <c r="G1178" s="6"/>
    </row>
    <row r="1179" spans="3:7" x14ac:dyDescent="0.25">
      <c r="C1179" s="6"/>
      <c r="D1179" s="6"/>
      <c r="E1179" s="6"/>
      <c r="F1179" s="6"/>
      <c r="G1179" s="6"/>
    </row>
    <row r="1180" spans="3:7" x14ac:dyDescent="0.25">
      <c r="C1180" s="6"/>
      <c r="D1180" s="6"/>
      <c r="E1180" s="6"/>
      <c r="F1180" s="6"/>
      <c r="G1180" s="6"/>
    </row>
    <row r="1181" spans="3:7" x14ac:dyDescent="0.25">
      <c r="C1181" s="6"/>
      <c r="D1181" s="6"/>
      <c r="E1181" s="6"/>
      <c r="F1181" s="6"/>
      <c r="G1181" s="6"/>
    </row>
    <row r="1182" spans="3:7" x14ac:dyDescent="0.25">
      <c r="C1182" s="6"/>
      <c r="D1182" s="6"/>
      <c r="E1182" s="6"/>
      <c r="F1182" s="6"/>
      <c r="G1182" s="6"/>
    </row>
    <row r="1183" spans="3:7" x14ac:dyDescent="0.25">
      <c r="C1183" s="6"/>
      <c r="D1183" s="6"/>
      <c r="E1183" s="6"/>
      <c r="F1183" s="6"/>
      <c r="G1183" s="6"/>
    </row>
    <row r="1184" spans="3:7" x14ac:dyDescent="0.25">
      <c r="C1184" s="6"/>
      <c r="D1184" s="6"/>
      <c r="E1184" s="6"/>
      <c r="F1184" s="6"/>
      <c r="G1184" s="6"/>
    </row>
    <row r="1185" spans="3:7" x14ac:dyDescent="0.25">
      <c r="C1185" s="6"/>
      <c r="D1185" s="6"/>
      <c r="E1185" s="6"/>
      <c r="F1185" s="6"/>
      <c r="G1185" s="6"/>
    </row>
    <row r="1186" spans="3:7" x14ac:dyDescent="0.25">
      <c r="C1186" s="6"/>
      <c r="D1186" s="6"/>
      <c r="E1186" s="6"/>
      <c r="F1186" s="6"/>
      <c r="G1186" s="6"/>
    </row>
    <row r="1187" spans="3:7" x14ac:dyDescent="0.25">
      <c r="C1187" s="6"/>
      <c r="D1187" s="6"/>
      <c r="E1187" s="6"/>
      <c r="F1187" s="6"/>
      <c r="G1187" s="6"/>
    </row>
    <row r="1188" spans="3:7" x14ac:dyDescent="0.25">
      <c r="C1188" s="6"/>
      <c r="D1188" s="6"/>
      <c r="E1188" s="6"/>
      <c r="F1188" s="6"/>
      <c r="G1188" s="6"/>
    </row>
    <row r="1189" spans="3:7" x14ac:dyDescent="0.25">
      <c r="C1189" s="6"/>
      <c r="D1189" s="6"/>
      <c r="E1189" s="6"/>
      <c r="F1189" s="6"/>
      <c r="G1189" s="6"/>
    </row>
    <row r="1190" spans="3:7" x14ac:dyDescent="0.25">
      <c r="C1190" s="6"/>
      <c r="D1190" s="6"/>
      <c r="E1190" s="6"/>
      <c r="F1190" s="6"/>
      <c r="G1190" s="6"/>
    </row>
    <row r="1191" spans="3:7" x14ac:dyDescent="0.25">
      <c r="C1191" s="6"/>
      <c r="D1191" s="6"/>
      <c r="E1191" s="6"/>
      <c r="F1191" s="6"/>
      <c r="G1191" s="6"/>
    </row>
    <row r="1192" spans="3:7" x14ac:dyDescent="0.25">
      <c r="C1192" s="6"/>
      <c r="D1192" s="6"/>
      <c r="E1192" s="6"/>
      <c r="F1192" s="6"/>
      <c r="G1192" s="6"/>
    </row>
    <row r="1193" spans="3:7" x14ac:dyDescent="0.25">
      <c r="C1193" s="6"/>
      <c r="D1193" s="6"/>
      <c r="E1193" s="6"/>
      <c r="F1193" s="6"/>
      <c r="G1193" s="6"/>
    </row>
    <row r="1194" spans="3:7" x14ac:dyDescent="0.25">
      <c r="C1194" s="6"/>
      <c r="D1194" s="6"/>
      <c r="E1194" s="6"/>
      <c r="F1194" s="6"/>
      <c r="G1194" s="6"/>
    </row>
    <row r="1195" spans="3:7" x14ac:dyDescent="0.25">
      <c r="C1195" s="6"/>
      <c r="D1195" s="6"/>
      <c r="E1195" s="6"/>
      <c r="F1195" s="6"/>
      <c r="G1195" s="6"/>
    </row>
    <row r="1196" spans="3:7" x14ac:dyDescent="0.25">
      <c r="C1196" s="6"/>
      <c r="D1196" s="6"/>
      <c r="E1196" s="6"/>
      <c r="F1196" s="6"/>
      <c r="G1196" s="6"/>
    </row>
    <row r="1197" spans="3:7" x14ac:dyDescent="0.25">
      <c r="C1197" s="6"/>
      <c r="D1197" s="6"/>
      <c r="E1197" s="6"/>
      <c r="F1197" s="6"/>
      <c r="G1197" s="6"/>
    </row>
    <row r="1198" spans="3:7" x14ac:dyDescent="0.25">
      <c r="C1198" s="6"/>
      <c r="D1198" s="6"/>
      <c r="E1198" s="6"/>
      <c r="F1198" s="6"/>
      <c r="G1198" s="6"/>
    </row>
    <row r="1199" spans="3:7" x14ac:dyDescent="0.25">
      <c r="C1199" s="6"/>
      <c r="D1199" s="6"/>
      <c r="E1199" s="6"/>
      <c r="F1199" s="6"/>
      <c r="G1199" s="6"/>
    </row>
    <row r="1200" spans="3:7" x14ac:dyDescent="0.25">
      <c r="C1200" s="6"/>
      <c r="D1200" s="6"/>
      <c r="E1200" s="6"/>
      <c r="F1200" s="6"/>
      <c r="G1200" s="6"/>
    </row>
    <row r="1201" spans="3:7" x14ac:dyDescent="0.25">
      <c r="C1201" s="6"/>
      <c r="D1201" s="6"/>
      <c r="E1201" s="6"/>
      <c r="F1201" s="6"/>
      <c r="G1201" s="6"/>
    </row>
    <row r="1202" spans="3:7" x14ac:dyDescent="0.25">
      <c r="C1202" s="6"/>
      <c r="D1202" s="6"/>
      <c r="E1202" s="6"/>
      <c r="F1202" s="6"/>
      <c r="G1202" s="6"/>
    </row>
    <row r="1203" spans="3:7" x14ac:dyDescent="0.25">
      <c r="C1203" s="6"/>
      <c r="D1203" s="6"/>
      <c r="E1203" s="6"/>
      <c r="F1203" s="6"/>
      <c r="G1203" s="6"/>
    </row>
    <row r="1204" spans="3:7" x14ac:dyDescent="0.25">
      <c r="C1204" s="6"/>
      <c r="D1204" s="6"/>
      <c r="E1204" s="6"/>
      <c r="F1204" s="6"/>
      <c r="G1204" s="6"/>
    </row>
    <row r="1205" spans="3:7" x14ac:dyDescent="0.25">
      <c r="C1205" s="6"/>
      <c r="D1205" s="6"/>
      <c r="E1205" s="6"/>
      <c r="F1205" s="6"/>
      <c r="G1205" s="6"/>
    </row>
    <row r="1206" spans="3:7" x14ac:dyDescent="0.25">
      <c r="C1206" s="6"/>
      <c r="D1206" s="6"/>
      <c r="E1206" s="6"/>
      <c r="F1206" s="6"/>
      <c r="G1206" s="6"/>
    </row>
    <row r="1207" spans="3:7" x14ac:dyDescent="0.25">
      <c r="C1207" s="6"/>
      <c r="D1207" s="6"/>
      <c r="E1207" s="6"/>
      <c r="F1207" s="6"/>
      <c r="G1207" s="6"/>
    </row>
    <row r="1208" spans="3:7" x14ac:dyDescent="0.25">
      <c r="C1208" s="6"/>
      <c r="D1208" s="6"/>
      <c r="E1208" s="6"/>
      <c r="F1208" s="6"/>
      <c r="G1208" s="6"/>
    </row>
    <row r="1209" spans="3:7" x14ac:dyDescent="0.25">
      <c r="C1209" s="6"/>
      <c r="D1209" s="6"/>
      <c r="E1209" s="6"/>
      <c r="F1209" s="6"/>
      <c r="G1209" s="6"/>
    </row>
    <row r="1210" spans="3:7" x14ac:dyDescent="0.25">
      <c r="C1210" s="6"/>
      <c r="D1210" s="6"/>
      <c r="E1210" s="6"/>
      <c r="F1210" s="6"/>
      <c r="G1210" s="6"/>
    </row>
    <row r="1211" spans="3:7" x14ac:dyDescent="0.25">
      <c r="C1211" s="6"/>
      <c r="D1211" s="6"/>
      <c r="E1211" s="6"/>
      <c r="F1211" s="6"/>
      <c r="G1211" s="6"/>
    </row>
    <row r="1212" spans="3:7" x14ac:dyDescent="0.25">
      <c r="C1212" s="6"/>
      <c r="D1212" s="6"/>
      <c r="E1212" s="6"/>
      <c r="F1212" s="6"/>
      <c r="G1212" s="6"/>
    </row>
    <row r="1213" spans="3:7" x14ac:dyDescent="0.25">
      <c r="C1213" s="6"/>
      <c r="D1213" s="6"/>
      <c r="E1213" s="6"/>
      <c r="F1213" s="6"/>
      <c r="G1213" s="6"/>
    </row>
    <row r="1214" spans="3:7" x14ac:dyDescent="0.25">
      <c r="C1214" s="6"/>
      <c r="D1214" s="6"/>
      <c r="E1214" s="6"/>
      <c r="F1214" s="6"/>
      <c r="G1214" s="6"/>
    </row>
    <row r="1215" spans="3:7" x14ac:dyDescent="0.25">
      <c r="C1215" s="6"/>
      <c r="D1215" s="6"/>
      <c r="E1215" s="6"/>
      <c r="F1215" s="6"/>
      <c r="G1215" s="6"/>
    </row>
    <row r="1216" spans="3:7" x14ac:dyDescent="0.25">
      <c r="C1216" s="6"/>
      <c r="D1216" s="6"/>
      <c r="E1216" s="6"/>
      <c r="F1216" s="6"/>
      <c r="G1216" s="6"/>
    </row>
    <row r="1217" spans="3:7" x14ac:dyDescent="0.25">
      <c r="C1217" s="6"/>
      <c r="D1217" s="6"/>
      <c r="E1217" s="6"/>
      <c r="F1217" s="6"/>
      <c r="G1217" s="6"/>
    </row>
    <row r="1218" spans="3:7" x14ac:dyDescent="0.25">
      <c r="C1218" s="6"/>
      <c r="D1218" s="6"/>
      <c r="E1218" s="6"/>
      <c r="F1218" s="6"/>
      <c r="G1218" s="6"/>
    </row>
    <row r="1219" spans="3:7" x14ac:dyDescent="0.25">
      <c r="C1219" s="6"/>
      <c r="D1219" s="6"/>
      <c r="E1219" s="6"/>
      <c r="F1219" s="6"/>
      <c r="G1219" s="6"/>
    </row>
    <row r="1220" spans="3:7" x14ac:dyDescent="0.25">
      <c r="C1220" s="6"/>
      <c r="D1220" s="6"/>
      <c r="E1220" s="6"/>
      <c r="F1220" s="6"/>
      <c r="G1220" s="6"/>
    </row>
    <row r="1221" spans="3:7" x14ac:dyDescent="0.25">
      <c r="C1221" s="6"/>
      <c r="D1221" s="6"/>
      <c r="E1221" s="6"/>
      <c r="F1221" s="6"/>
      <c r="G1221" s="6"/>
    </row>
    <row r="1222" spans="3:7" x14ac:dyDescent="0.25">
      <c r="C1222" s="6"/>
      <c r="D1222" s="6"/>
      <c r="E1222" s="6"/>
      <c r="F1222" s="6"/>
      <c r="G1222" s="6"/>
    </row>
    <row r="1223" spans="3:7" x14ac:dyDescent="0.25">
      <c r="C1223" s="6"/>
      <c r="D1223" s="6"/>
      <c r="E1223" s="6"/>
      <c r="F1223" s="6"/>
      <c r="G1223" s="6"/>
    </row>
    <row r="1224" spans="3:7" x14ac:dyDescent="0.25">
      <c r="C1224" s="6"/>
      <c r="D1224" s="6"/>
      <c r="E1224" s="6"/>
      <c r="F1224" s="6"/>
      <c r="G1224" s="6"/>
    </row>
    <row r="1225" spans="3:7" x14ac:dyDescent="0.25">
      <c r="C1225" s="6"/>
      <c r="D1225" s="6"/>
      <c r="E1225" s="6"/>
      <c r="F1225" s="6"/>
      <c r="G1225" s="6"/>
    </row>
    <row r="1226" spans="3:7" x14ac:dyDescent="0.25">
      <c r="C1226" s="6"/>
      <c r="D1226" s="6"/>
      <c r="E1226" s="6"/>
      <c r="F1226" s="6"/>
      <c r="G1226" s="6"/>
    </row>
    <row r="1227" spans="3:7" x14ac:dyDescent="0.25">
      <c r="C1227" s="6"/>
      <c r="D1227" s="6"/>
      <c r="E1227" s="6"/>
      <c r="F1227" s="6"/>
      <c r="G1227" s="6"/>
    </row>
    <row r="1228" spans="3:7" x14ac:dyDescent="0.25">
      <c r="C1228" s="6"/>
      <c r="D1228" s="6"/>
      <c r="E1228" s="6"/>
      <c r="F1228" s="6"/>
      <c r="G1228" s="6"/>
    </row>
    <row r="1229" spans="3:7" x14ac:dyDescent="0.25">
      <c r="C1229" s="6"/>
      <c r="D1229" s="6"/>
      <c r="E1229" s="6"/>
      <c r="F1229" s="6"/>
      <c r="G1229" s="6"/>
    </row>
    <row r="1230" spans="3:7" x14ac:dyDescent="0.25">
      <c r="C1230" s="6"/>
      <c r="D1230" s="6"/>
      <c r="E1230" s="6"/>
      <c r="F1230" s="6"/>
      <c r="G1230" s="6"/>
    </row>
    <row r="1231" spans="3:7" x14ac:dyDescent="0.25">
      <c r="C1231" s="6"/>
      <c r="D1231" s="6"/>
      <c r="E1231" s="6"/>
      <c r="F1231" s="6"/>
      <c r="G1231" s="6"/>
    </row>
    <row r="1232" spans="3:7" x14ac:dyDescent="0.25">
      <c r="C1232" s="6"/>
      <c r="D1232" s="6"/>
      <c r="E1232" s="6"/>
      <c r="F1232" s="6"/>
      <c r="G1232" s="6"/>
    </row>
    <row r="1233" spans="3:7" x14ac:dyDescent="0.25">
      <c r="C1233" s="6"/>
      <c r="D1233" s="6"/>
      <c r="E1233" s="6"/>
      <c r="F1233" s="6"/>
      <c r="G1233" s="6"/>
    </row>
    <row r="1234" spans="3:7" x14ac:dyDescent="0.25">
      <c r="C1234" s="6"/>
      <c r="D1234" s="6"/>
      <c r="E1234" s="6"/>
      <c r="F1234" s="6"/>
      <c r="G1234" s="6"/>
    </row>
    <row r="1235" spans="3:7" x14ac:dyDescent="0.25">
      <c r="C1235" s="6"/>
      <c r="D1235" s="6"/>
      <c r="E1235" s="6"/>
      <c r="F1235" s="6"/>
      <c r="G1235" s="6"/>
    </row>
    <row r="1236" spans="3:7" x14ac:dyDescent="0.25">
      <c r="C1236" s="6"/>
      <c r="D1236" s="6"/>
      <c r="E1236" s="6"/>
      <c r="F1236" s="6"/>
      <c r="G1236" s="6"/>
    </row>
    <row r="1237" spans="3:7" x14ac:dyDescent="0.25">
      <c r="C1237" s="6"/>
      <c r="D1237" s="6"/>
      <c r="E1237" s="6"/>
      <c r="F1237" s="6"/>
      <c r="G1237" s="6"/>
    </row>
    <row r="1238" spans="3:7" x14ac:dyDescent="0.25">
      <c r="C1238" s="6"/>
      <c r="D1238" s="6"/>
      <c r="E1238" s="6"/>
      <c r="F1238" s="6"/>
      <c r="G1238" s="6"/>
    </row>
    <row r="1239" spans="3:7" x14ac:dyDescent="0.25">
      <c r="C1239" s="6"/>
      <c r="D1239" s="6"/>
      <c r="E1239" s="6"/>
      <c r="F1239" s="6"/>
      <c r="G1239" s="6"/>
    </row>
    <row r="1240" spans="3:7" x14ac:dyDescent="0.25">
      <c r="C1240" s="6"/>
      <c r="D1240" s="6"/>
      <c r="E1240" s="6"/>
      <c r="F1240" s="6"/>
      <c r="G1240" s="6"/>
    </row>
    <row r="1241" spans="3:7" x14ac:dyDescent="0.25">
      <c r="C1241" s="6"/>
      <c r="D1241" s="6"/>
      <c r="E1241" s="6"/>
      <c r="F1241" s="6"/>
      <c r="G1241" s="6"/>
    </row>
    <row r="1242" spans="3:7" x14ac:dyDescent="0.25">
      <c r="C1242" s="6"/>
      <c r="D1242" s="6"/>
      <c r="E1242" s="6"/>
      <c r="F1242" s="6"/>
      <c r="G1242" s="6"/>
    </row>
    <row r="1243" spans="3:7" x14ac:dyDescent="0.25">
      <c r="C1243" s="6"/>
      <c r="D1243" s="6"/>
      <c r="E1243" s="6"/>
      <c r="F1243" s="6"/>
      <c r="G1243" s="6"/>
    </row>
    <row r="1244" spans="3:7" x14ac:dyDescent="0.25">
      <c r="C1244" s="6"/>
      <c r="D1244" s="6"/>
      <c r="E1244" s="6"/>
      <c r="F1244" s="6"/>
      <c r="G1244" s="6"/>
    </row>
    <row r="1245" spans="3:7" x14ac:dyDescent="0.25">
      <c r="C1245" s="6"/>
      <c r="D1245" s="6"/>
      <c r="E1245" s="6"/>
      <c r="F1245" s="6"/>
      <c r="G1245" s="6"/>
    </row>
    <row r="1246" spans="3:7" x14ac:dyDescent="0.25">
      <c r="C1246" s="6"/>
      <c r="D1246" s="6"/>
      <c r="E1246" s="6"/>
      <c r="F1246" s="6"/>
      <c r="G1246" s="6"/>
    </row>
    <row r="1247" spans="3:7" x14ac:dyDescent="0.25">
      <c r="C1247" s="6"/>
      <c r="D1247" s="6"/>
      <c r="E1247" s="6"/>
      <c r="F1247" s="6"/>
      <c r="G1247" s="6"/>
    </row>
    <row r="1248" spans="3:7" x14ac:dyDescent="0.25">
      <c r="C1248" s="6"/>
      <c r="D1248" s="6"/>
      <c r="E1248" s="6"/>
      <c r="F1248" s="6"/>
      <c r="G1248" s="6"/>
    </row>
    <row r="1249" spans="3:7" x14ac:dyDescent="0.25">
      <c r="C1249" s="6"/>
      <c r="D1249" s="6"/>
      <c r="E1249" s="6"/>
      <c r="F1249" s="6"/>
      <c r="G1249" s="6"/>
    </row>
    <row r="1250" spans="3:7" x14ac:dyDescent="0.25">
      <c r="C1250" s="6"/>
      <c r="D1250" s="6"/>
      <c r="E1250" s="6"/>
      <c r="F1250" s="6"/>
      <c r="G1250" s="6"/>
    </row>
    <row r="1251" spans="3:7" x14ac:dyDescent="0.25">
      <c r="C1251" s="6"/>
      <c r="D1251" s="6"/>
      <c r="E1251" s="6"/>
      <c r="F1251" s="6"/>
      <c r="G1251" s="6"/>
    </row>
    <row r="1252" spans="3:7" x14ac:dyDescent="0.25">
      <c r="C1252" s="6"/>
      <c r="D1252" s="6"/>
      <c r="E1252" s="6"/>
      <c r="F1252" s="6"/>
      <c r="G1252" s="6"/>
    </row>
    <row r="1253" spans="3:7" x14ac:dyDescent="0.25">
      <c r="C1253" s="6"/>
      <c r="D1253" s="6"/>
      <c r="E1253" s="6"/>
      <c r="F1253" s="6"/>
      <c r="G1253" s="6"/>
    </row>
    <row r="1254" spans="3:7" x14ac:dyDescent="0.25">
      <c r="C1254" s="6"/>
      <c r="D1254" s="6"/>
      <c r="E1254" s="6"/>
      <c r="F1254" s="6"/>
      <c r="G1254" s="6"/>
    </row>
    <row r="1255" spans="3:7" x14ac:dyDescent="0.25">
      <c r="C1255" s="6"/>
      <c r="D1255" s="6"/>
      <c r="E1255" s="6"/>
      <c r="F1255" s="6"/>
      <c r="G1255" s="6"/>
    </row>
    <row r="1256" spans="3:7" x14ac:dyDescent="0.25">
      <c r="C1256" s="6"/>
      <c r="D1256" s="6"/>
      <c r="E1256" s="6"/>
      <c r="F1256" s="6"/>
      <c r="G1256" s="6"/>
    </row>
    <row r="1257" spans="3:7" x14ac:dyDescent="0.25">
      <c r="C1257" s="6"/>
      <c r="D1257" s="6"/>
      <c r="E1257" s="6"/>
      <c r="F1257" s="6"/>
      <c r="G1257" s="6"/>
    </row>
    <row r="1258" spans="3:7" x14ac:dyDescent="0.25">
      <c r="C1258" s="6"/>
      <c r="D1258" s="6"/>
      <c r="E1258" s="6"/>
      <c r="F1258" s="6"/>
      <c r="G1258" s="6"/>
    </row>
    <row r="1259" spans="3:7" x14ac:dyDescent="0.25">
      <c r="C1259" s="6"/>
      <c r="D1259" s="6"/>
      <c r="E1259" s="6"/>
      <c r="F1259" s="6"/>
      <c r="G1259" s="6"/>
    </row>
    <row r="1260" spans="3:7" x14ac:dyDescent="0.25">
      <c r="C1260" s="6"/>
      <c r="D1260" s="6"/>
      <c r="E1260" s="6"/>
      <c r="F1260" s="6"/>
      <c r="G1260" s="6"/>
    </row>
    <row r="1261" spans="3:7" x14ac:dyDescent="0.25">
      <c r="C1261" s="6"/>
      <c r="D1261" s="6"/>
      <c r="E1261" s="6"/>
      <c r="F1261" s="6"/>
      <c r="G1261" s="6"/>
    </row>
    <row r="1262" spans="3:7" x14ac:dyDescent="0.25">
      <c r="C1262" s="6"/>
      <c r="D1262" s="6"/>
      <c r="E1262" s="6"/>
      <c r="F1262" s="6"/>
      <c r="G1262" s="6"/>
    </row>
    <row r="1263" spans="3:7" x14ac:dyDescent="0.25">
      <c r="C1263" s="6"/>
      <c r="D1263" s="6"/>
      <c r="E1263" s="6"/>
      <c r="F1263" s="6"/>
      <c r="G1263" s="6"/>
    </row>
    <row r="1264" spans="3:7" x14ac:dyDescent="0.25">
      <c r="C1264" s="6"/>
      <c r="D1264" s="6"/>
      <c r="E1264" s="6"/>
      <c r="F1264" s="6"/>
      <c r="G1264" s="6"/>
    </row>
    <row r="1265" spans="3:7" x14ac:dyDescent="0.25">
      <c r="C1265" s="6"/>
      <c r="D1265" s="6"/>
      <c r="E1265" s="6"/>
      <c r="F1265" s="6"/>
      <c r="G1265" s="6"/>
    </row>
    <row r="1266" spans="3:7" x14ac:dyDescent="0.25">
      <c r="C1266" s="6"/>
      <c r="D1266" s="6"/>
      <c r="E1266" s="6"/>
      <c r="F1266" s="6"/>
      <c r="G1266" s="6"/>
    </row>
    <row r="1267" spans="3:7" x14ac:dyDescent="0.25">
      <c r="C1267" s="6"/>
      <c r="D1267" s="6"/>
      <c r="E1267" s="6"/>
      <c r="F1267" s="6"/>
      <c r="G1267" s="6"/>
    </row>
    <row r="1268" spans="3:7" x14ac:dyDescent="0.25">
      <c r="C1268" s="6"/>
      <c r="D1268" s="6"/>
      <c r="E1268" s="6"/>
      <c r="F1268" s="6"/>
      <c r="G1268" s="6"/>
    </row>
    <row r="1269" spans="3:7" x14ac:dyDescent="0.25">
      <c r="C1269" s="6"/>
      <c r="D1269" s="6"/>
      <c r="E1269" s="6"/>
      <c r="F1269" s="6"/>
      <c r="G1269" s="6"/>
    </row>
    <row r="1270" spans="3:7" x14ac:dyDescent="0.25">
      <c r="C1270" s="6"/>
      <c r="D1270" s="6"/>
      <c r="E1270" s="6"/>
      <c r="F1270" s="6"/>
      <c r="G1270" s="6"/>
    </row>
    <row r="1271" spans="3:7" x14ac:dyDescent="0.25">
      <c r="C1271" s="6"/>
      <c r="D1271" s="6"/>
      <c r="E1271" s="6"/>
      <c r="F1271" s="6"/>
      <c r="G1271" s="6"/>
    </row>
    <row r="1272" spans="3:7" x14ac:dyDescent="0.25">
      <c r="C1272" s="6"/>
      <c r="D1272" s="6"/>
      <c r="E1272" s="6"/>
      <c r="F1272" s="6"/>
      <c r="G1272" s="6"/>
    </row>
    <row r="1273" spans="3:7" x14ac:dyDescent="0.25">
      <c r="C1273" s="6"/>
      <c r="D1273" s="6"/>
      <c r="E1273" s="6"/>
      <c r="F1273" s="6"/>
      <c r="G1273" s="6"/>
    </row>
    <row r="1274" spans="3:7" x14ac:dyDescent="0.25">
      <c r="C1274" s="6"/>
      <c r="D1274" s="6"/>
      <c r="E1274" s="6"/>
      <c r="F1274" s="6"/>
      <c r="G1274" s="6"/>
    </row>
    <row r="1275" spans="3:7" x14ac:dyDescent="0.25">
      <c r="C1275" s="6"/>
      <c r="D1275" s="6"/>
      <c r="E1275" s="6"/>
      <c r="F1275" s="6"/>
      <c r="G1275" s="6"/>
    </row>
    <row r="1276" spans="3:7" x14ac:dyDescent="0.25">
      <c r="C1276" s="6"/>
      <c r="D1276" s="6"/>
      <c r="E1276" s="6"/>
      <c r="F1276" s="6"/>
      <c r="G1276" s="6"/>
    </row>
    <row r="1277" spans="3:7" x14ac:dyDescent="0.25">
      <c r="C1277" s="6"/>
      <c r="D1277" s="6"/>
      <c r="E1277" s="6"/>
      <c r="F1277" s="6"/>
      <c r="G1277" s="6"/>
    </row>
    <row r="1278" spans="3:7" x14ac:dyDescent="0.25">
      <c r="C1278" s="6"/>
      <c r="D1278" s="6"/>
      <c r="E1278" s="6"/>
      <c r="F1278" s="6"/>
      <c r="G1278" s="6"/>
    </row>
    <row r="1279" spans="3:7" x14ac:dyDescent="0.25">
      <c r="C1279" s="6"/>
      <c r="D1279" s="6"/>
      <c r="E1279" s="6"/>
      <c r="F1279" s="6"/>
      <c r="G1279" s="6"/>
    </row>
    <row r="1280" spans="3:7" x14ac:dyDescent="0.25">
      <c r="C1280" s="6"/>
      <c r="D1280" s="6"/>
      <c r="E1280" s="6"/>
      <c r="F1280" s="6"/>
      <c r="G1280" s="6"/>
    </row>
    <row r="1281" spans="3:7" x14ac:dyDescent="0.25">
      <c r="C1281" s="6"/>
      <c r="D1281" s="6"/>
      <c r="E1281" s="6"/>
      <c r="F1281" s="6"/>
      <c r="G1281" s="6"/>
    </row>
    <row r="1282" spans="3:7" x14ac:dyDescent="0.25">
      <c r="C1282" s="6"/>
      <c r="D1282" s="6"/>
      <c r="E1282" s="6"/>
      <c r="F1282" s="6"/>
      <c r="G1282" s="6"/>
    </row>
    <row r="1283" spans="3:7" x14ac:dyDescent="0.25">
      <c r="C1283" s="6"/>
      <c r="D1283" s="6"/>
      <c r="E1283" s="6"/>
      <c r="F1283" s="6"/>
      <c r="G1283" s="6"/>
    </row>
    <row r="1284" spans="3:7" x14ac:dyDescent="0.25">
      <c r="C1284" s="6"/>
      <c r="D1284" s="6"/>
      <c r="E1284" s="6"/>
      <c r="F1284" s="6"/>
      <c r="G1284" s="6"/>
    </row>
    <row r="1285" spans="3:7" x14ac:dyDescent="0.25">
      <c r="C1285" s="6"/>
      <c r="D1285" s="6"/>
      <c r="E1285" s="6"/>
      <c r="F1285" s="6"/>
      <c r="G1285" s="6"/>
    </row>
    <row r="1286" spans="3:7" x14ac:dyDescent="0.25">
      <c r="C1286" s="6"/>
      <c r="D1286" s="6"/>
      <c r="E1286" s="6"/>
      <c r="F1286" s="6"/>
      <c r="G1286" s="6"/>
    </row>
    <row r="1287" spans="3:7" x14ac:dyDescent="0.25">
      <c r="C1287" s="6"/>
      <c r="D1287" s="6"/>
      <c r="E1287" s="6"/>
      <c r="F1287" s="6"/>
      <c r="G1287" s="6"/>
    </row>
    <row r="1288" spans="3:7" x14ac:dyDescent="0.25">
      <c r="C1288" s="6"/>
      <c r="D1288" s="6"/>
      <c r="E1288" s="6"/>
      <c r="F1288" s="6"/>
      <c r="G1288" s="6"/>
    </row>
    <row r="1289" spans="3:7" x14ac:dyDescent="0.25">
      <c r="C1289" s="6"/>
      <c r="D1289" s="6"/>
      <c r="E1289" s="6"/>
      <c r="F1289" s="6"/>
      <c r="G1289" s="6"/>
    </row>
    <row r="1290" spans="3:7" x14ac:dyDescent="0.25">
      <c r="C1290" s="6"/>
      <c r="D1290" s="6"/>
      <c r="E1290" s="6"/>
      <c r="F1290" s="6"/>
      <c r="G1290" s="6"/>
    </row>
    <row r="1291" spans="3:7" x14ac:dyDescent="0.25">
      <c r="C1291" s="6"/>
      <c r="D1291" s="6"/>
      <c r="E1291" s="6"/>
      <c r="F1291" s="6"/>
      <c r="G1291" s="6"/>
    </row>
    <row r="1292" spans="3:7" x14ac:dyDescent="0.25">
      <c r="C1292" s="6"/>
      <c r="D1292" s="6"/>
      <c r="E1292" s="6"/>
      <c r="F1292" s="6"/>
      <c r="G1292" s="6"/>
    </row>
    <row r="1293" spans="3:7" x14ac:dyDescent="0.25">
      <c r="C1293" s="6"/>
      <c r="D1293" s="6"/>
      <c r="E1293" s="6"/>
      <c r="F1293" s="6"/>
      <c r="G1293" s="6"/>
    </row>
    <row r="1294" spans="3:7" x14ac:dyDescent="0.25">
      <c r="C1294" s="6"/>
      <c r="D1294" s="6"/>
      <c r="E1294" s="6"/>
      <c r="F1294" s="6"/>
      <c r="G1294" s="6"/>
    </row>
    <row r="1295" spans="3:7" x14ac:dyDescent="0.25">
      <c r="C1295" s="6"/>
      <c r="D1295" s="6"/>
      <c r="E1295" s="6"/>
      <c r="F1295" s="6"/>
      <c r="G1295" s="6"/>
    </row>
    <row r="1296" spans="3:7" x14ac:dyDescent="0.25">
      <c r="C1296" s="6"/>
      <c r="D1296" s="6"/>
      <c r="E1296" s="6"/>
      <c r="F1296" s="6"/>
      <c r="G1296" s="6"/>
    </row>
    <row r="1297" spans="3:7" x14ac:dyDescent="0.25">
      <c r="C1297" s="6"/>
      <c r="D1297" s="6"/>
      <c r="E1297" s="6"/>
      <c r="F1297" s="6"/>
      <c r="G1297" s="6"/>
    </row>
    <row r="1298" spans="3:7" x14ac:dyDescent="0.25">
      <c r="C1298" s="6"/>
      <c r="D1298" s="6"/>
      <c r="E1298" s="6"/>
      <c r="F1298" s="6"/>
      <c r="G1298" s="6"/>
    </row>
    <row r="1299" spans="3:7" x14ac:dyDescent="0.25">
      <c r="C1299" s="6"/>
      <c r="D1299" s="6"/>
      <c r="E1299" s="6"/>
      <c r="F1299" s="6"/>
      <c r="G1299" s="6"/>
    </row>
    <row r="1300" spans="3:7" x14ac:dyDescent="0.25">
      <c r="C1300" s="6"/>
      <c r="D1300" s="6"/>
      <c r="E1300" s="6"/>
      <c r="F1300" s="6"/>
      <c r="G1300" s="6"/>
    </row>
    <row r="1301" spans="3:7" x14ac:dyDescent="0.25">
      <c r="C1301" s="6"/>
      <c r="D1301" s="6"/>
      <c r="E1301" s="6"/>
      <c r="F1301" s="6"/>
      <c r="G1301" s="6"/>
    </row>
    <row r="1302" spans="3:7" x14ac:dyDescent="0.25">
      <c r="C1302" s="6"/>
      <c r="D1302" s="6"/>
      <c r="E1302" s="6"/>
      <c r="F1302" s="6"/>
      <c r="G1302" s="6"/>
    </row>
    <row r="1303" spans="3:7" x14ac:dyDescent="0.25">
      <c r="C1303" s="6"/>
      <c r="D1303" s="6"/>
      <c r="E1303" s="6"/>
      <c r="F1303" s="6"/>
      <c r="G1303" s="6"/>
    </row>
    <row r="1304" spans="3:7" x14ac:dyDescent="0.25">
      <c r="C1304" s="6"/>
      <c r="D1304" s="6"/>
      <c r="E1304" s="6"/>
      <c r="F1304" s="6"/>
      <c r="G1304" s="6"/>
    </row>
    <row r="1305" spans="3:7" x14ac:dyDescent="0.25">
      <c r="C1305" s="6"/>
      <c r="D1305" s="6"/>
      <c r="E1305" s="6"/>
      <c r="F1305" s="6"/>
      <c r="G1305" s="6"/>
    </row>
    <row r="1306" spans="3:7" x14ac:dyDescent="0.25">
      <c r="C1306" s="6"/>
      <c r="D1306" s="6"/>
      <c r="E1306" s="6"/>
      <c r="F1306" s="6"/>
      <c r="G1306" s="6"/>
    </row>
    <row r="1307" spans="3:7" x14ac:dyDescent="0.25">
      <c r="C1307" s="6"/>
      <c r="D1307" s="6"/>
      <c r="E1307" s="6"/>
      <c r="F1307" s="6"/>
      <c r="G1307" s="6"/>
    </row>
    <row r="1308" spans="3:7" x14ac:dyDescent="0.25">
      <c r="C1308" s="6"/>
      <c r="D1308" s="6"/>
      <c r="E1308" s="6"/>
      <c r="F1308" s="6"/>
      <c r="G1308" s="6"/>
    </row>
    <row r="1309" spans="3:7" x14ac:dyDescent="0.25">
      <c r="C1309" s="6"/>
      <c r="D1309" s="6"/>
      <c r="E1309" s="6"/>
      <c r="F1309" s="6"/>
      <c r="G1309" s="6"/>
    </row>
    <row r="1310" spans="3:7" x14ac:dyDescent="0.25">
      <c r="C1310" s="6"/>
      <c r="D1310" s="6"/>
      <c r="E1310" s="6"/>
      <c r="F1310" s="6"/>
      <c r="G1310" s="6"/>
    </row>
    <row r="1311" spans="3:7" x14ac:dyDescent="0.25">
      <c r="C1311" s="6"/>
      <c r="D1311" s="6"/>
      <c r="E1311" s="6"/>
      <c r="F1311" s="6"/>
      <c r="G1311" s="6"/>
    </row>
    <row r="1312" spans="3:7" x14ac:dyDescent="0.25">
      <c r="C1312" s="6"/>
      <c r="D1312" s="6"/>
      <c r="E1312" s="6"/>
      <c r="F1312" s="6"/>
      <c r="G1312" s="6"/>
    </row>
    <row r="1313" spans="3:7" x14ac:dyDescent="0.25">
      <c r="C1313" s="6"/>
      <c r="D1313" s="6"/>
      <c r="E1313" s="6"/>
      <c r="F1313" s="6"/>
      <c r="G1313" s="6"/>
    </row>
    <row r="1314" spans="3:7" x14ac:dyDescent="0.25">
      <c r="C1314" s="6"/>
      <c r="D1314" s="6"/>
      <c r="E1314" s="6"/>
      <c r="F1314" s="6"/>
      <c r="G1314" s="6"/>
    </row>
    <row r="1315" spans="3:7" x14ac:dyDescent="0.25">
      <c r="C1315" s="6"/>
      <c r="D1315" s="6"/>
      <c r="E1315" s="6"/>
      <c r="F1315" s="6"/>
      <c r="G1315" s="6"/>
    </row>
    <row r="1316" spans="3:7" x14ac:dyDescent="0.25">
      <c r="C1316" s="6"/>
      <c r="D1316" s="6"/>
      <c r="E1316" s="6"/>
      <c r="F1316" s="6"/>
      <c r="G1316" s="6"/>
    </row>
    <row r="1317" spans="3:7" x14ac:dyDescent="0.25">
      <c r="C1317" s="6"/>
      <c r="D1317" s="6"/>
      <c r="E1317" s="6"/>
      <c r="F1317" s="6"/>
      <c r="G1317" s="6"/>
    </row>
    <row r="1318" spans="3:7" x14ac:dyDescent="0.25">
      <c r="C1318" s="6"/>
      <c r="D1318" s="6"/>
      <c r="E1318" s="6"/>
      <c r="F1318" s="6"/>
      <c r="G1318" s="6"/>
    </row>
    <row r="1319" spans="3:7" x14ac:dyDescent="0.25">
      <c r="C1319" s="6"/>
      <c r="D1319" s="6"/>
      <c r="E1319" s="6"/>
      <c r="F1319" s="6"/>
      <c r="G1319" s="6"/>
    </row>
    <row r="1320" spans="3:7" x14ac:dyDescent="0.25">
      <c r="C1320" s="6"/>
      <c r="D1320" s="6"/>
      <c r="E1320" s="6"/>
      <c r="F1320" s="6"/>
      <c r="G1320" s="6"/>
    </row>
    <row r="1321" spans="3:7" x14ac:dyDescent="0.25">
      <c r="C1321" s="6"/>
      <c r="D1321" s="6"/>
      <c r="E1321" s="6"/>
      <c r="F1321" s="6"/>
      <c r="G1321" s="6"/>
    </row>
    <row r="1322" spans="3:7" x14ac:dyDescent="0.25">
      <c r="C1322" s="6"/>
      <c r="D1322" s="6"/>
      <c r="E1322" s="6"/>
      <c r="F1322" s="6"/>
      <c r="G1322" s="6"/>
    </row>
    <row r="1323" spans="3:7" x14ac:dyDescent="0.25">
      <c r="C1323" s="6"/>
      <c r="D1323" s="6"/>
      <c r="E1323" s="6"/>
      <c r="F1323" s="6"/>
      <c r="G1323" s="6"/>
    </row>
    <row r="1324" spans="3:7" x14ac:dyDescent="0.25">
      <c r="C1324" s="6"/>
      <c r="D1324" s="6"/>
      <c r="E1324" s="6"/>
      <c r="F1324" s="6"/>
      <c r="G1324" s="6"/>
    </row>
    <row r="1325" spans="3:7" x14ac:dyDescent="0.25">
      <c r="C1325" s="6"/>
      <c r="D1325" s="6"/>
      <c r="E1325" s="6"/>
      <c r="F1325" s="6"/>
      <c r="G1325" s="6"/>
    </row>
    <row r="1326" spans="3:7" x14ac:dyDescent="0.25">
      <c r="C1326" s="6"/>
      <c r="D1326" s="6"/>
      <c r="E1326" s="6"/>
      <c r="F1326" s="6"/>
      <c r="G1326" s="6"/>
    </row>
    <row r="1327" spans="3:7" x14ac:dyDescent="0.25">
      <c r="C1327" s="6"/>
      <c r="D1327" s="6"/>
      <c r="E1327" s="6"/>
      <c r="F1327" s="6"/>
      <c r="G1327" s="6"/>
    </row>
    <row r="1328" spans="3:7" x14ac:dyDescent="0.25">
      <c r="C1328" s="6"/>
      <c r="D1328" s="6"/>
      <c r="E1328" s="6"/>
      <c r="F1328" s="6"/>
      <c r="G1328" s="6"/>
    </row>
    <row r="1329" spans="3:7" x14ac:dyDescent="0.25">
      <c r="C1329" s="6"/>
      <c r="D1329" s="6"/>
      <c r="E1329" s="6"/>
      <c r="F1329" s="6"/>
      <c r="G1329" s="6"/>
    </row>
    <row r="1330" spans="3:7" x14ac:dyDescent="0.25">
      <c r="C1330" s="6"/>
      <c r="D1330" s="6"/>
      <c r="E1330" s="6"/>
      <c r="F1330" s="6"/>
      <c r="G1330" s="6"/>
    </row>
    <row r="1331" spans="3:7" x14ac:dyDescent="0.25">
      <c r="C1331" s="6"/>
      <c r="D1331" s="6"/>
      <c r="E1331" s="6"/>
      <c r="F1331" s="6"/>
      <c r="G1331" s="6"/>
    </row>
    <row r="1332" spans="3:7" x14ac:dyDescent="0.25">
      <c r="C1332" s="6"/>
      <c r="D1332" s="6"/>
      <c r="E1332" s="6"/>
      <c r="F1332" s="6"/>
      <c r="G1332" s="6"/>
    </row>
    <row r="1333" spans="3:7" x14ac:dyDescent="0.25">
      <c r="C1333" s="6"/>
      <c r="D1333" s="6"/>
      <c r="E1333" s="6"/>
      <c r="F1333" s="6"/>
      <c r="G1333" s="6"/>
    </row>
    <row r="1334" spans="3:7" x14ac:dyDescent="0.25">
      <c r="C1334" s="6"/>
      <c r="D1334" s="6"/>
      <c r="E1334" s="6"/>
      <c r="F1334" s="6"/>
      <c r="G1334" s="6"/>
    </row>
    <row r="1335" spans="3:7" x14ac:dyDescent="0.25">
      <c r="C1335" s="6"/>
      <c r="D1335" s="6"/>
      <c r="E1335" s="6"/>
      <c r="F1335" s="6"/>
      <c r="G1335" s="6"/>
    </row>
    <row r="1336" spans="3:7" x14ac:dyDescent="0.25">
      <c r="C1336" s="6"/>
      <c r="D1336" s="6"/>
      <c r="E1336" s="6"/>
      <c r="F1336" s="6"/>
      <c r="G1336" s="6"/>
    </row>
    <row r="1337" spans="3:7" x14ac:dyDescent="0.25">
      <c r="C1337" s="6"/>
      <c r="D1337" s="6"/>
      <c r="E1337" s="6"/>
      <c r="F1337" s="6"/>
      <c r="G1337" s="6"/>
    </row>
    <row r="1338" spans="3:7" x14ac:dyDescent="0.25">
      <c r="C1338" s="6"/>
      <c r="D1338" s="6"/>
      <c r="E1338" s="6"/>
      <c r="F1338" s="6"/>
      <c r="G1338" s="6"/>
    </row>
    <row r="1339" spans="3:7" x14ac:dyDescent="0.25">
      <c r="C1339" s="6"/>
      <c r="D1339" s="6"/>
      <c r="E1339" s="6"/>
      <c r="F1339" s="6"/>
      <c r="G1339" s="6"/>
    </row>
    <row r="1340" spans="3:7" x14ac:dyDescent="0.25">
      <c r="C1340" s="6"/>
      <c r="D1340" s="6"/>
      <c r="E1340" s="6"/>
      <c r="F1340" s="6"/>
      <c r="G1340" s="6"/>
    </row>
    <row r="1341" spans="3:7" x14ac:dyDescent="0.25">
      <c r="C1341" s="6"/>
      <c r="D1341" s="6"/>
      <c r="E1341" s="6"/>
      <c r="F1341" s="6"/>
      <c r="G1341" s="6"/>
    </row>
    <row r="1342" spans="3:7" x14ac:dyDescent="0.25">
      <c r="C1342" s="6"/>
      <c r="D1342" s="6"/>
      <c r="E1342" s="6"/>
      <c r="F1342" s="6"/>
      <c r="G1342" s="6"/>
    </row>
    <row r="1343" spans="3:7" x14ac:dyDescent="0.25">
      <c r="C1343" s="6"/>
      <c r="D1343" s="6"/>
      <c r="E1343" s="6"/>
      <c r="F1343" s="6"/>
      <c r="G1343" s="6"/>
    </row>
    <row r="1344" spans="3:7" x14ac:dyDescent="0.25">
      <c r="C1344" s="6"/>
      <c r="D1344" s="6"/>
      <c r="E1344" s="6"/>
      <c r="F1344" s="6"/>
      <c r="G1344" s="6"/>
    </row>
    <row r="1345" spans="3:7" x14ac:dyDescent="0.25">
      <c r="C1345" s="6"/>
      <c r="D1345" s="6"/>
      <c r="E1345" s="6"/>
      <c r="F1345" s="6"/>
      <c r="G1345" s="6"/>
    </row>
    <row r="1346" spans="3:7" x14ac:dyDescent="0.25">
      <c r="C1346" s="6"/>
      <c r="D1346" s="6"/>
      <c r="E1346" s="6"/>
      <c r="F1346" s="6"/>
      <c r="G1346" s="6"/>
    </row>
    <row r="1347" spans="3:7" x14ac:dyDescent="0.25">
      <c r="C1347" s="6"/>
      <c r="D1347" s="6"/>
      <c r="E1347" s="6"/>
      <c r="F1347" s="6"/>
      <c r="G1347" s="6"/>
    </row>
    <row r="1348" spans="3:7" x14ac:dyDescent="0.25">
      <c r="C1348" s="6"/>
      <c r="D1348" s="6"/>
      <c r="E1348" s="6"/>
      <c r="F1348" s="6"/>
      <c r="G1348" s="6"/>
    </row>
    <row r="1349" spans="3:7" x14ac:dyDescent="0.25">
      <c r="C1349" s="6"/>
      <c r="D1349" s="6"/>
      <c r="E1349" s="6"/>
      <c r="F1349" s="6"/>
      <c r="G1349" s="6"/>
    </row>
    <row r="1350" spans="3:7" x14ac:dyDescent="0.25">
      <c r="C1350" s="6"/>
      <c r="D1350" s="6"/>
      <c r="E1350" s="6"/>
      <c r="F1350" s="6"/>
      <c r="G1350" s="6"/>
    </row>
    <row r="1351" spans="3:7" x14ac:dyDescent="0.25">
      <c r="C1351" s="6"/>
      <c r="D1351" s="6"/>
      <c r="E1351" s="6"/>
      <c r="F1351" s="6"/>
      <c r="G1351" s="6"/>
    </row>
    <row r="1352" spans="3:7" x14ac:dyDescent="0.25">
      <c r="C1352" s="6"/>
      <c r="D1352" s="6"/>
      <c r="E1352" s="6"/>
      <c r="F1352" s="6"/>
      <c r="G1352" s="6"/>
    </row>
    <row r="1353" spans="3:7" x14ac:dyDescent="0.25">
      <c r="C1353" s="6"/>
      <c r="D1353" s="6"/>
      <c r="E1353" s="6"/>
      <c r="F1353" s="6"/>
      <c r="G1353" s="6"/>
    </row>
    <row r="1354" spans="3:7" x14ac:dyDescent="0.25">
      <c r="C1354" s="6"/>
      <c r="D1354" s="6"/>
      <c r="E1354" s="6"/>
      <c r="F1354" s="6"/>
      <c r="G1354" s="6"/>
    </row>
    <row r="1355" spans="3:7" x14ac:dyDescent="0.25">
      <c r="C1355" s="6"/>
      <c r="D1355" s="6"/>
      <c r="E1355" s="6"/>
      <c r="F1355" s="6"/>
      <c r="G1355" s="6"/>
    </row>
    <row r="1356" spans="3:7" x14ac:dyDescent="0.25">
      <c r="C1356" s="6"/>
      <c r="D1356" s="6"/>
      <c r="E1356" s="6"/>
      <c r="F1356" s="6"/>
      <c r="G1356" s="6"/>
    </row>
    <row r="1357" spans="3:7" x14ac:dyDescent="0.25">
      <c r="C1357" s="6"/>
      <c r="D1357" s="6"/>
      <c r="E1357" s="6"/>
      <c r="F1357" s="6"/>
      <c r="G1357" s="6"/>
    </row>
    <row r="1358" spans="3:7" x14ac:dyDescent="0.25">
      <c r="C1358" s="6"/>
      <c r="D1358" s="6"/>
      <c r="E1358" s="6"/>
      <c r="F1358" s="6"/>
      <c r="G1358" s="6"/>
    </row>
    <row r="1359" spans="3:7" x14ac:dyDescent="0.25">
      <c r="C1359" s="6"/>
      <c r="D1359" s="6"/>
      <c r="E1359" s="6"/>
      <c r="F1359" s="6"/>
      <c r="G1359" s="6"/>
    </row>
    <row r="1360" spans="3:7" x14ac:dyDescent="0.25">
      <c r="C1360" s="6"/>
      <c r="D1360" s="6"/>
      <c r="E1360" s="6"/>
      <c r="F1360" s="6"/>
      <c r="G1360" s="6"/>
    </row>
    <row r="1361" spans="3:7" x14ac:dyDescent="0.25">
      <c r="C1361" s="6"/>
      <c r="D1361" s="6"/>
      <c r="E1361" s="6"/>
      <c r="F1361" s="6"/>
      <c r="G1361" s="6"/>
    </row>
    <row r="1362" spans="3:7" x14ac:dyDescent="0.25">
      <c r="C1362" s="6"/>
      <c r="D1362" s="6"/>
      <c r="E1362" s="6"/>
      <c r="F1362" s="6"/>
      <c r="G1362" s="6"/>
    </row>
    <row r="1363" spans="3:7" x14ac:dyDescent="0.25">
      <c r="C1363" s="6"/>
      <c r="D1363" s="6"/>
      <c r="E1363" s="6"/>
      <c r="F1363" s="6"/>
      <c r="G1363" s="6"/>
    </row>
    <row r="1364" spans="3:7" x14ac:dyDescent="0.25">
      <c r="C1364" s="6"/>
      <c r="D1364" s="6"/>
      <c r="E1364" s="6"/>
      <c r="F1364" s="6"/>
      <c r="G1364" s="6"/>
    </row>
    <row r="1365" spans="3:7" x14ac:dyDescent="0.25">
      <c r="C1365" s="6"/>
      <c r="D1365" s="6"/>
      <c r="E1365" s="6"/>
      <c r="F1365" s="6"/>
      <c r="G1365" s="6"/>
    </row>
    <row r="1366" spans="3:7" x14ac:dyDescent="0.25">
      <c r="C1366" s="6"/>
      <c r="D1366" s="6"/>
      <c r="E1366" s="6"/>
      <c r="F1366" s="6"/>
      <c r="G1366" s="6"/>
    </row>
    <row r="1367" spans="3:7" x14ac:dyDescent="0.25">
      <c r="C1367" s="6"/>
      <c r="D1367" s="6"/>
      <c r="E1367" s="6"/>
      <c r="F1367" s="6"/>
      <c r="G1367" s="6"/>
    </row>
    <row r="1368" spans="3:7" x14ac:dyDescent="0.25">
      <c r="C1368" s="6"/>
      <c r="D1368" s="6"/>
      <c r="E1368" s="6"/>
      <c r="F1368" s="6"/>
      <c r="G1368" s="6"/>
    </row>
    <row r="1369" spans="3:7" x14ac:dyDescent="0.25">
      <c r="C1369" s="6"/>
      <c r="D1369" s="6"/>
      <c r="E1369" s="6"/>
      <c r="F1369" s="6"/>
      <c r="G1369" s="6"/>
    </row>
    <row r="1370" spans="3:7" x14ac:dyDescent="0.25">
      <c r="C1370" s="6"/>
      <c r="D1370" s="6"/>
      <c r="E1370" s="6"/>
      <c r="F1370" s="6"/>
      <c r="G1370" s="6"/>
    </row>
    <row r="1371" spans="3:7" x14ac:dyDescent="0.25">
      <c r="C1371" s="6"/>
      <c r="D1371" s="6"/>
      <c r="E1371" s="6"/>
      <c r="F1371" s="6"/>
      <c r="G1371" s="6"/>
    </row>
    <row r="1372" spans="3:7" x14ac:dyDescent="0.25">
      <c r="C1372" s="6"/>
      <c r="D1372" s="6"/>
      <c r="E1372" s="6"/>
      <c r="F1372" s="6"/>
      <c r="G1372" s="6"/>
    </row>
    <row r="1373" spans="3:7" x14ac:dyDescent="0.25">
      <c r="C1373" s="6"/>
      <c r="D1373" s="6"/>
      <c r="E1373" s="6"/>
      <c r="F1373" s="6"/>
      <c r="G1373" s="6"/>
    </row>
    <row r="1374" spans="3:7" x14ac:dyDescent="0.25">
      <c r="C1374" s="6"/>
      <c r="D1374" s="6"/>
      <c r="E1374" s="6"/>
      <c r="F1374" s="6"/>
      <c r="G1374" s="6"/>
    </row>
    <row r="1375" spans="3:7" x14ac:dyDescent="0.25">
      <c r="C1375" s="6"/>
      <c r="D1375" s="6"/>
      <c r="E1375" s="6"/>
      <c r="F1375" s="6"/>
      <c r="G1375" s="6"/>
    </row>
    <row r="1376" spans="3:7" x14ac:dyDescent="0.25">
      <c r="C1376" s="6"/>
      <c r="D1376" s="6"/>
      <c r="E1376" s="6"/>
      <c r="F1376" s="6"/>
      <c r="G1376" s="6"/>
    </row>
    <row r="1377" spans="3:7" x14ac:dyDescent="0.25">
      <c r="C1377" s="6"/>
      <c r="D1377" s="6"/>
      <c r="E1377" s="6"/>
      <c r="F1377" s="6"/>
      <c r="G1377" s="6"/>
    </row>
    <row r="1378" spans="3:7" x14ac:dyDescent="0.25">
      <c r="C1378" s="6"/>
      <c r="D1378" s="6"/>
      <c r="E1378" s="6"/>
      <c r="F1378" s="6"/>
      <c r="G1378" s="6"/>
    </row>
    <row r="1379" spans="3:7" x14ac:dyDescent="0.25">
      <c r="C1379" s="6"/>
      <c r="D1379" s="6"/>
      <c r="E1379" s="6"/>
      <c r="F1379" s="6"/>
      <c r="G1379" s="6"/>
    </row>
    <row r="1380" spans="3:7" x14ac:dyDescent="0.25">
      <c r="C1380" s="6"/>
      <c r="D1380" s="6"/>
      <c r="E1380" s="6"/>
      <c r="F1380" s="6"/>
      <c r="G1380" s="6"/>
    </row>
    <row r="1381" spans="3:7" x14ac:dyDescent="0.25">
      <c r="C1381" s="6"/>
      <c r="D1381" s="6"/>
      <c r="E1381" s="6"/>
      <c r="F1381" s="6"/>
      <c r="G1381" s="6"/>
    </row>
    <row r="1382" spans="3:7" x14ac:dyDescent="0.25">
      <c r="C1382" s="6"/>
      <c r="D1382" s="6"/>
      <c r="E1382" s="6"/>
      <c r="F1382" s="6"/>
      <c r="G1382" s="6"/>
    </row>
    <row r="1383" spans="3:7" x14ac:dyDescent="0.25">
      <c r="C1383" s="6"/>
      <c r="D1383" s="6"/>
      <c r="E1383" s="6"/>
      <c r="F1383" s="6"/>
      <c r="G1383" s="6"/>
    </row>
    <row r="1384" spans="3:7" x14ac:dyDescent="0.25">
      <c r="C1384" s="6"/>
      <c r="D1384" s="6"/>
      <c r="E1384" s="6"/>
      <c r="F1384" s="6"/>
      <c r="G1384" s="6"/>
    </row>
    <row r="1385" spans="3:7" x14ac:dyDescent="0.25">
      <c r="C1385" s="6"/>
      <c r="D1385" s="6"/>
      <c r="E1385" s="6"/>
      <c r="F1385" s="6"/>
      <c r="G1385" s="6"/>
    </row>
    <row r="1386" spans="3:7" x14ac:dyDescent="0.25">
      <c r="C1386" s="6"/>
      <c r="D1386" s="6"/>
      <c r="E1386" s="6"/>
      <c r="F1386" s="6"/>
      <c r="G1386" s="6"/>
    </row>
    <row r="1387" spans="3:7" x14ac:dyDescent="0.25">
      <c r="C1387" s="6"/>
      <c r="D1387" s="6"/>
      <c r="E1387" s="6"/>
      <c r="F1387" s="6"/>
      <c r="G1387" s="6"/>
    </row>
    <row r="1388" spans="3:7" x14ac:dyDescent="0.25">
      <c r="C1388" s="6"/>
      <c r="D1388" s="6"/>
      <c r="E1388" s="6"/>
      <c r="F1388" s="6"/>
      <c r="G1388" s="6"/>
    </row>
    <row r="1389" spans="3:7" x14ac:dyDescent="0.25">
      <c r="C1389" s="6"/>
      <c r="D1389" s="6"/>
      <c r="E1389" s="6"/>
      <c r="F1389" s="6"/>
      <c r="G1389" s="6"/>
    </row>
    <row r="1390" spans="3:7" x14ac:dyDescent="0.25">
      <c r="C1390" s="6"/>
      <c r="D1390" s="6"/>
      <c r="E1390" s="6"/>
      <c r="F1390" s="6"/>
      <c r="G1390" s="6"/>
    </row>
    <row r="1391" spans="3:7" x14ac:dyDescent="0.25">
      <c r="C1391" s="6"/>
      <c r="D1391" s="6"/>
      <c r="E1391" s="6"/>
      <c r="F1391" s="6"/>
      <c r="G1391" s="6"/>
    </row>
    <row r="1392" spans="3:7" x14ac:dyDescent="0.25">
      <c r="C1392" s="6"/>
      <c r="D1392" s="6"/>
      <c r="E1392" s="6"/>
      <c r="F1392" s="6"/>
      <c r="G1392" s="6"/>
    </row>
    <row r="1393" spans="3:7" x14ac:dyDescent="0.25">
      <c r="C1393" s="6"/>
      <c r="D1393" s="6"/>
      <c r="E1393" s="6"/>
      <c r="F1393" s="6"/>
      <c r="G1393" s="6"/>
    </row>
    <row r="1394" spans="3:7" x14ac:dyDescent="0.25">
      <c r="C1394" s="6"/>
      <c r="D1394" s="6"/>
      <c r="E1394" s="6"/>
      <c r="F1394" s="6"/>
      <c r="G1394" s="6"/>
    </row>
    <row r="1395" spans="3:7" x14ac:dyDescent="0.25">
      <c r="C1395" s="6"/>
      <c r="D1395" s="6"/>
      <c r="E1395" s="6"/>
      <c r="F1395" s="6"/>
      <c r="G1395" s="6"/>
    </row>
    <row r="1396" spans="3:7" x14ac:dyDescent="0.25">
      <c r="C1396" s="6"/>
      <c r="D1396" s="6"/>
      <c r="E1396" s="6"/>
      <c r="F1396" s="6"/>
      <c r="G1396" s="6"/>
    </row>
    <row r="1397" spans="3:7" x14ac:dyDescent="0.25">
      <c r="C1397" s="6"/>
      <c r="D1397" s="6"/>
      <c r="E1397" s="6"/>
      <c r="F1397" s="6"/>
      <c r="G1397" s="6"/>
    </row>
    <row r="1398" spans="3:7" x14ac:dyDescent="0.25">
      <c r="C1398" s="6"/>
      <c r="D1398" s="6"/>
      <c r="E1398" s="6"/>
      <c r="F1398" s="6"/>
      <c r="G1398" s="6"/>
    </row>
    <row r="1399" spans="3:7" x14ac:dyDescent="0.25">
      <c r="C1399" s="6"/>
      <c r="D1399" s="6"/>
      <c r="E1399" s="6"/>
      <c r="F1399" s="6"/>
      <c r="G1399" s="6"/>
    </row>
    <row r="1400" spans="3:7" x14ac:dyDescent="0.25">
      <c r="C1400" s="6"/>
      <c r="D1400" s="6"/>
      <c r="E1400" s="6"/>
      <c r="F1400" s="6"/>
      <c r="G1400" s="6"/>
    </row>
    <row r="1401" spans="3:7" x14ac:dyDescent="0.25">
      <c r="C1401" s="6"/>
      <c r="D1401" s="6"/>
      <c r="E1401" s="6"/>
      <c r="F1401" s="6"/>
      <c r="G1401" s="6"/>
    </row>
    <row r="1402" spans="3:7" x14ac:dyDescent="0.25">
      <c r="C1402" s="6"/>
      <c r="D1402" s="6"/>
      <c r="E1402" s="6"/>
      <c r="F1402" s="6"/>
      <c r="G1402" s="6"/>
    </row>
    <row r="1403" spans="3:7" x14ac:dyDescent="0.25">
      <c r="C1403" s="6"/>
      <c r="D1403" s="6"/>
      <c r="E1403" s="6"/>
      <c r="F1403" s="6"/>
      <c r="G1403" s="6"/>
    </row>
    <row r="1404" spans="3:7" x14ac:dyDescent="0.25">
      <c r="C1404" s="6"/>
      <c r="D1404" s="6"/>
      <c r="E1404" s="6"/>
      <c r="F1404" s="6"/>
      <c r="G1404" s="6"/>
    </row>
    <row r="1405" spans="3:7" x14ac:dyDescent="0.25">
      <c r="C1405" s="6"/>
      <c r="D1405" s="6"/>
      <c r="E1405" s="6"/>
      <c r="F1405" s="6"/>
      <c r="G1405" s="6"/>
    </row>
    <row r="1406" spans="3:7" x14ac:dyDescent="0.25">
      <c r="C1406" s="6"/>
      <c r="D1406" s="6"/>
      <c r="E1406" s="6"/>
      <c r="F1406" s="6"/>
      <c r="G1406" s="6"/>
    </row>
    <row r="1407" spans="3:7" x14ac:dyDescent="0.25">
      <c r="C1407" s="6"/>
      <c r="D1407" s="6"/>
      <c r="E1407" s="6"/>
      <c r="F1407" s="6"/>
      <c r="G1407" s="6"/>
    </row>
    <row r="1408" spans="3:7" x14ac:dyDescent="0.25">
      <c r="C1408" s="6"/>
      <c r="D1408" s="6"/>
      <c r="E1408" s="6"/>
      <c r="F1408" s="6"/>
      <c r="G1408" s="6"/>
    </row>
    <row r="1409" spans="3:7" x14ac:dyDescent="0.25">
      <c r="C1409" s="6"/>
      <c r="D1409" s="6"/>
      <c r="E1409" s="6"/>
      <c r="F1409" s="6"/>
      <c r="G1409" s="6"/>
    </row>
    <row r="1410" spans="3:7" x14ac:dyDescent="0.25">
      <c r="C1410" s="6"/>
      <c r="D1410" s="6"/>
      <c r="E1410" s="6"/>
      <c r="F1410" s="6"/>
      <c r="G1410" s="6"/>
    </row>
    <row r="1411" spans="3:7" x14ac:dyDescent="0.25">
      <c r="C1411" s="6"/>
      <c r="D1411" s="6"/>
      <c r="E1411" s="6"/>
      <c r="F1411" s="6"/>
      <c r="G1411" s="6"/>
    </row>
    <row r="1412" spans="3:7" x14ac:dyDescent="0.25">
      <c r="C1412" s="6"/>
      <c r="D1412" s="6"/>
      <c r="E1412" s="6"/>
      <c r="F1412" s="6"/>
      <c r="G1412" s="6"/>
    </row>
    <row r="1413" spans="3:7" x14ac:dyDescent="0.25">
      <c r="C1413" s="6"/>
      <c r="D1413" s="6"/>
      <c r="E1413" s="6"/>
      <c r="F1413" s="6"/>
      <c r="G1413" s="6"/>
    </row>
    <row r="1414" spans="3:7" x14ac:dyDescent="0.25">
      <c r="C1414" s="6"/>
      <c r="D1414" s="6"/>
      <c r="E1414" s="6"/>
      <c r="F1414" s="6"/>
      <c r="G1414" s="6"/>
    </row>
    <row r="1415" spans="3:7" x14ac:dyDescent="0.25">
      <c r="C1415" s="6"/>
      <c r="D1415" s="6"/>
      <c r="E1415" s="6"/>
      <c r="F1415" s="6"/>
      <c r="G1415" s="6"/>
    </row>
    <row r="1416" spans="3:7" x14ac:dyDescent="0.25">
      <c r="C1416" s="6"/>
      <c r="D1416" s="6"/>
      <c r="E1416" s="6"/>
      <c r="F1416" s="6"/>
      <c r="G1416" s="6"/>
    </row>
    <row r="1417" spans="3:7" x14ac:dyDescent="0.25">
      <c r="C1417" s="6"/>
      <c r="D1417" s="6"/>
      <c r="E1417" s="6"/>
      <c r="F1417" s="6"/>
      <c r="G1417" s="6"/>
    </row>
    <row r="1418" spans="3:7" x14ac:dyDescent="0.25">
      <c r="C1418" s="6"/>
      <c r="D1418" s="6"/>
      <c r="E1418" s="6"/>
      <c r="F1418" s="6"/>
      <c r="G1418" s="6"/>
    </row>
    <row r="1419" spans="3:7" x14ac:dyDescent="0.25">
      <c r="C1419" s="6"/>
      <c r="D1419" s="6"/>
      <c r="E1419" s="6"/>
      <c r="F1419" s="6"/>
      <c r="G1419" s="6"/>
    </row>
    <row r="1420" spans="3:7" x14ac:dyDescent="0.25">
      <c r="C1420" s="6"/>
      <c r="D1420" s="6"/>
      <c r="E1420" s="6"/>
      <c r="F1420" s="6"/>
      <c r="G1420" s="6"/>
    </row>
    <row r="1421" spans="3:7" x14ac:dyDescent="0.25">
      <c r="C1421" s="6"/>
      <c r="D1421" s="6"/>
      <c r="E1421" s="6"/>
      <c r="F1421" s="6"/>
      <c r="G1421" s="6"/>
    </row>
    <row r="1422" spans="3:7" x14ac:dyDescent="0.25">
      <c r="C1422" s="6"/>
      <c r="D1422" s="6"/>
      <c r="E1422" s="6"/>
      <c r="F1422" s="6"/>
      <c r="G1422" s="6"/>
    </row>
    <row r="1423" spans="3:7" x14ac:dyDescent="0.25">
      <c r="C1423" s="6"/>
      <c r="D1423" s="6"/>
      <c r="E1423" s="6"/>
      <c r="F1423" s="6"/>
      <c r="G1423" s="6"/>
    </row>
    <row r="1424" spans="3:7" x14ac:dyDescent="0.25">
      <c r="C1424" s="6"/>
      <c r="D1424" s="6"/>
      <c r="E1424" s="6"/>
      <c r="F1424" s="6"/>
      <c r="G1424" s="6"/>
    </row>
    <row r="1425" spans="3:7" x14ac:dyDescent="0.25">
      <c r="C1425" s="6"/>
      <c r="D1425" s="6"/>
      <c r="E1425" s="6"/>
      <c r="F1425" s="6"/>
      <c r="G1425" s="6"/>
    </row>
    <row r="1426" spans="3:7" x14ac:dyDescent="0.25">
      <c r="C1426" s="6"/>
      <c r="D1426" s="6"/>
      <c r="E1426" s="6"/>
      <c r="F1426" s="6"/>
      <c r="G1426" s="6"/>
    </row>
    <row r="1427" spans="3:7" x14ac:dyDescent="0.25">
      <c r="C1427" s="6"/>
      <c r="D1427" s="6"/>
      <c r="E1427" s="6"/>
      <c r="F1427" s="6"/>
      <c r="G1427" s="6"/>
    </row>
    <row r="1428" spans="3:7" x14ac:dyDescent="0.25">
      <c r="C1428" s="6"/>
      <c r="D1428" s="6"/>
      <c r="E1428" s="6"/>
      <c r="F1428" s="6"/>
      <c r="G1428" s="6"/>
    </row>
    <row r="1429" spans="3:7" x14ac:dyDescent="0.25">
      <c r="C1429" s="6"/>
      <c r="D1429" s="6"/>
      <c r="E1429" s="6"/>
      <c r="F1429" s="6"/>
      <c r="G1429" s="6"/>
    </row>
    <row r="1430" spans="3:7" x14ac:dyDescent="0.25">
      <c r="C1430" s="6"/>
      <c r="D1430" s="6"/>
      <c r="E1430" s="6"/>
      <c r="F1430" s="6"/>
      <c r="G1430" s="6"/>
    </row>
    <row r="1431" spans="3:7" x14ac:dyDescent="0.25">
      <c r="C1431" s="6"/>
      <c r="D1431" s="6"/>
      <c r="E1431" s="6"/>
      <c r="F1431" s="6"/>
      <c r="G1431" s="6"/>
    </row>
    <row r="1432" spans="3:7" x14ac:dyDescent="0.25">
      <c r="C1432" s="6"/>
      <c r="D1432" s="6"/>
      <c r="E1432" s="6"/>
      <c r="F1432" s="6"/>
      <c r="G1432" s="6"/>
    </row>
    <row r="1433" spans="3:7" x14ac:dyDescent="0.25">
      <c r="C1433" s="6"/>
      <c r="D1433" s="6"/>
      <c r="E1433" s="6"/>
      <c r="F1433" s="6"/>
      <c r="G1433" s="6"/>
    </row>
    <row r="1434" spans="3:7" x14ac:dyDescent="0.25">
      <c r="C1434" s="6"/>
      <c r="D1434" s="6"/>
      <c r="E1434" s="6"/>
      <c r="F1434" s="6"/>
      <c r="G1434" s="6"/>
    </row>
    <row r="1435" spans="3:7" x14ac:dyDescent="0.25">
      <c r="C1435" s="6"/>
      <c r="D1435" s="6"/>
      <c r="E1435" s="6"/>
      <c r="F1435" s="6"/>
      <c r="G1435" s="6"/>
    </row>
    <row r="1436" spans="3:7" x14ac:dyDescent="0.25">
      <c r="C1436" s="6"/>
      <c r="D1436" s="6"/>
      <c r="E1436" s="6"/>
      <c r="F1436" s="6"/>
      <c r="G1436" s="6"/>
    </row>
    <row r="1437" spans="3:7" x14ac:dyDescent="0.25">
      <c r="C1437" s="6"/>
      <c r="D1437" s="6"/>
      <c r="E1437" s="6"/>
      <c r="F1437" s="6"/>
      <c r="G1437" s="6"/>
    </row>
    <row r="1438" spans="3:7" x14ac:dyDescent="0.25">
      <c r="C1438" s="6"/>
      <c r="D1438" s="6"/>
      <c r="E1438" s="6"/>
      <c r="F1438" s="6"/>
      <c r="G1438" s="6"/>
    </row>
    <row r="1439" spans="3:7" x14ac:dyDescent="0.25">
      <c r="C1439" s="6"/>
      <c r="D1439" s="6"/>
      <c r="E1439" s="6"/>
      <c r="F1439" s="6"/>
      <c r="G1439" s="6"/>
    </row>
    <row r="1440" spans="3:7" x14ac:dyDescent="0.25">
      <c r="C1440" s="6"/>
      <c r="D1440" s="6"/>
      <c r="E1440" s="6"/>
      <c r="F1440" s="6"/>
      <c r="G1440" s="6"/>
    </row>
    <row r="1441" spans="3:7" x14ac:dyDescent="0.25">
      <c r="C1441" s="6"/>
      <c r="D1441" s="6"/>
      <c r="E1441" s="6"/>
      <c r="F1441" s="6"/>
      <c r="G1441" s="6"/>
    </row>
    <row r="1442" spans="3:7" x14ac:dyDescent="0.25">
      <c r="C1442" s="6"/>
      <c r="D1442" s="6"/>
      <c r="E1442" s="6"/>
      <c r="F1442" s="6"/>
      <c r="G1442" s="6"/>
    </row>
    <row r="1443" spans="3:7" x14ac:dyDescent="0.25">
      <c r="C1443" s="6"/>
      <c r="D1443" s="6"/>
      <c r="E1443" s="6"/>
      <c r="F1443" s="6"/>
      <c r="G1443" s="6"/>
    </row>
    <row r="1444" spans="3:7" x14ac:dyDescent="0.25">
      <c r="C1444" s="6"/>
      <c r="D1444" s="6"/>
      <c r="E1444" s="6"/>
      <c r="F1444" s="6"/>
      <c r="G1444" s="6"/>
    </row>
    <row r="1445" spans="3:7" x14ac:dyDescent="0.25">
      <c r="C1445" s="6"/>
      <c r="D1445" s="6"/>
      <c r="E1445" s="6"/>
      <c r="F1445" s="6"/>
      <c r="G1445" s="6"/>
    </row>
    <row r="1446" spans="3:7" x14ac:dyDescent="0.25">
      <c r="C1446" s="6"/>
      <c r="D1446" s="6"/>
      <c r="E1446" s="6"/>
      <c r="F1446" s="6"/>
      <c r="G1446" s="6"/>
    </row>
    <row r="1447" spans="3:7" x14ac:dyDescent="0.25">
      <c r="C1447" s="6"/>
      <c r="D1447" s="6"/>
      <c r="E1447" s="6"/>
      <c r="F1447" s="6"/>
      <c r="G1447" s="6"/>
    </row>
    <row r="1448" spans="3:7" x14ac:dyDescent="0.25">
      <c r="C1448" s="6"/>
      <c r="D1448" s="6"/>
      <c r="E1448" s="6"/>
      <c r="F1448" s="6"/>
      <c r="G1448" s="6"/>
    </row>
    <row r="1449" spans="3:7" x14ac:dyDescent="0.25">
      <c r="C1449" s="6"/>
      <c r="D1449" s="6"/>
      <c r="E1449" s="6"/>
      <c r="F1449" s="6"/>
      <c r="G1449" s="6"/>
    </row>
    <row r="1450" spans="3:7" x14ac:dyDescent="0.25">
      <c r="C1450" s="6"/>
      <c r="D1450" s="6"/>
      <c r="E1450" s="6"/>
      <c r="F1450" s="6"/>
      <c r="G1450" s="6"/>
    </row>
    <row r="1451" spans="3:7" x14ac:dyDescent="0.25">
      <c r="C1451" s="6"/>
      <c r="D1451" s="6"/>
      <c r="E1451" s="6"/>
      <c r="F1451" s="6"/>
      <c r="G1451" s="6"/>
    </row>
    <row r="1452" spans="3:7" x14ac:dyDescent="0.25">
      <c r="C1452" s="6"/>
      <c r="D1452" s="6"/>
      <c r="E1452" s="6"/>
      <c r="F1452" s="6"/>
      <c r="G1452" s="6"/>
    </row>
    <row r="1453" spans="3:7" x14ac:dyDescent="0.25">
      <c r="C1453" s="6"/>
      <c r="D1453" s="6"/>
      <c r="E1453" s="6"/>
      <c r="F1453" s="6"/>
      <c r="G1453" s="6"/>
    </row>
    <row r="1454" spans="3:7" x14ac:dyDescent="0.25">
      <c r="C1454" s="6"/>
      <c r="D1454" s="6"/>
      <c r="E1454" s="6"/>
      <c r="F1454" s="6"/>
      <c r="G1454" s="6"/>
    </row>
    <row r="1455" spans="3:7" x14ac:dyDescent="0.25">
      <c r="C1455" s="6"/>
      <c r="D1455" s="6"/>
      <c r="E1455" s="6"/>
      <c r="F1455" s="6"/>
      <c r="G1455" s="6"/>
    </row>
    <row r="1456" spans="3:7" x14ac:dyDescent="0.25">
      <c r="C1456" s="6"/>
      <c r="D1456" s="6"/>
      <c r="E1456" s="6"/>
      <c r="F1456" s="6"/>
      <c r="G1456" s="6"/>
    </row>
    <row r="1457" spans="3:7" x14ac:dyDescent="0.25">
      <c r="C1457" s="6"/>
      <c r="D1457" s="6"/>
      <c r="E1457" s="6"/>
      <c r="F1457" s="6"/>
      <c r="G1457" s="6"/>
    </row>
    <row r="1458" spans="3:7" x14ac:dyDescent="0.25">
      <c r="C1458" s="6"/>
      <c r="D1458" s="6"/>
      <c r="E1458" s="6"/>
      <c r="F1458" s="6"/>
      <c r="G1458" s="6"/>
    </row>
    <row r="1459" spans="3:7" x14ac:dyDescent="0.25">
      <c r="C1459" s="6"/>
      <c r="D1459" s="6"/>
      <c r="E1459" s="6"/>
      <c r="F1459" s="6"/>
      <c r="G1459" s="6"/>
    </row>
    <row r="1460" spans="3:7" x14ac:dyDescent="0.25">
      <c r="C1460" s="6"/>
      <c r="D1460" s="6"/>
      <c r="E1460" s="6"/>
      <c r="F1460" s="6"/>
      <c r="G1460" s="6"/>
    </row>
    <row r="1461" spans="3:7" x14ac:dyDescent="0.25">
      <c r="C1461" s="6"/>
      <c r="D1461" s="6"/>
      <c r="E1461" s="6"/>
      <c r="F1461" s="6"/>
      <c r="G1461" s="6"/>
    </row>
    <row r="1462" spans="3:7" x14ac:dyDescent="0.25">
      <c r="C1462" s="6"/>
      <c r="D1462" s="6"/>
      <c r="E1462" s="6"/>
      <c r="F1462" s="6"/>
      <c r="G1462" s="6"/>
    </row>
    <row r="1463" spans="3:7" x14ac:dyDescent="0.25">
      <c r="C1463" s="6"/>
      <c r="D1463" s="6"/>
      <c r="E1463" s="6"/>
      <c r="F1463" s="6"/>
      <c r="G1463" s="6"/>
    </row>
    <row r="1464" spans="3:7" x14ac:dyDescent="0.25">
      <c r="C1464" s="6"/>
      <c r="D1464" s="6"/>
      <c r="E1464" s="6"/>
      <c r="F1464" s="6"/>
      <c r="G1464" s="6"/>
    </row>
    <row r="1465" spans="3:7" x14ac:dyDescent="0.25">
      <c r="C1465" s="6"/>
      <c r="D1465" s="6"/>
      <c r="E1465" s="6"/>
      <c r="F1465" s="6"/>
      <c r="G1465" s="6"/>
    </row>
    <row r="1466" spans="3:7" x14ac:dyDescent="0.25">
      <c r="C1466" s="6"/>
      <c r="D1466" s="6"/>
      <c r="E1466" s="6"/>
      <c r="F1466" s="6"/>
      <c r="G1466" s="6"/>
    </row>
    <row r="1467" spans="3:7" x14ac:dyDescent="0.25">
      <c r="C1467" s="6"/>
      <c r="D1467" s="6"/>
      <c r="E1467" s="6"/>
      <c r="F1467" s="6"/>
      <c r="G1467" s="6"/>
    </row>
    <row r="1468" spans="3:7" x14ac:dyDescent="0.25">
      <c r="C1468" s="6"/>
      <c r="D1468" s="6"/>
      <c r="E1468" s="6"/>
      <c r="F1468" s="6"/>
      <c r="G1468" s="6"/>
    </row>
    <row r="1469" spans="3:7" x14ac:dyDescent="0.25">
      <c r="C1469" s="6"/>
      <c r="D1469" s="6"/>
      <c r="E1469" s="6"/>
      <c r="F1469" s="6"/>
      <c r="G1469" s="6"/>
    </row>
    <row r="1470" spans="3:7" x14ac:dyDescent="0.25">
      <c r="C1470" s="6"/>
      <c r="D1470" s="6"/>
      <c r="E1470" s="6"/>
      <c r="F1470" s="6"/>
      <c r="G1470" s="6"/>
    </row>
    <row r="1471" spans="3:7" x14ac:dyDescent="0.25">
      <c r="C1471" s="6"/>
      <c r="D1471" s="6"/>
      <c r="E1471" s="6"/>
      <c r="F1471" s="6"/>
      <c r="G1471" s="6"/>
    </row>
    <row r="1472" spans="3:7" x14ac:dyDescent="0.25">
      <c r="C1472" s="6"/>
      <c r="D1472" s="6"/>
      <c r="E1472" s="6"/>
      <c r="F1472" s="6"/>
      <c r="G1472" s="6"/>
    </row>
    <row r="1473" spans="3:7" x14ac:dyDescent="0.25">
      <c r="C1473" s="6"/>
      <c r="D1473" s="6"/>
      <c r="E1473" s="6"/>
      <c r="F1473" s="6"/>
      <c r="G1473" s="6"/>
    </row>
    <row r="1474" spans="3:7" x14ac:dyDescent="0.25">
      <c r="C1474" s="6"/>
      <c r="D1474" s="6"/>
      <c r="E1474" s="6"/>
      <c r="F1474" s="6"/>
      <c r="G1474" s="6"/>
    </row>
    <row r="1475" spans="3:7" x14ac:dyDescent="0.25">
      <c r="C1475" s="6"/>
      <c r="D1475" s="6"/>
      <c r="E1475" s="6"/>
      <c r="F1475" s="6"/>
      <c r="G1475" s="6"/>
    </row>
    <row r="1476" spans="3:7" x14ac:dyDescent="0.25">
      <c r="C1476" s="6"/>
      <c r="D1476" s="6"/>
      <c r="E1476" s="6"/>
      <c r="F1476" s="6"/>
      <c r="G1476" s="6"/>
    </row>
    <row r="1477" spans="3:7" x14ac:dyDescent="0.25">
      <c r="C1477" s="6"/>
      <c r="D1477" s="6"/>
      <c r="E1477" s="6"/>
      <c r="F1477" s="6"/>
      <c r="G1477" s="6"/>
    </row>
    <row r="1478" spans="3:7" x14ac:dyDescent="0.25">
      <c r="C1478" s="6"/>
      <c r="D1478" s="6"/>
      <c r="E1478" s="6"/>
      <c r="F1478" s="6"/>
      <c r="G1478" s="6"/>
    </row>
    <row r="1479" spans="3:7" x14ac:dyDescent="0.25">
      <c r="C1479" s="6"/>
      <c r="D1479" s="6"/>
      <c r="E1479" s="6"/>
      <c r="F1479" s="6"/>
      <c r="G1479" s="6"/>
    </row>
    <row r="1480" spans="3:7" x14ac:dyDescent="0.25">
      <c r="C1480" s="6"/>
      <c r="D1480" s="6"/>
      <c r="E1480" s="6"/>
      <c r="F1480" s="6"/>
      <c r="G1480" s="6"/>
    </row>
    <row r="1481" spans="3:7" x14ac:dyDescent="0.25">
      <c r="C1481" s="6"/>
      <c r="D1481" s="6"/>
      <c r="E1481" s="6"/>
      <c r="F1481" s="6"/>
      <c r="G1481" s="6"/>
    </row>
    <row r="1482" spans="3:7" x14ac:dyDescent="0.25">
      <c r="C1482" s="6"/>
      <c r="D1482" s="6"/>
      <c r="E1482" s="6"/>
      <c r="F1482" s="6"/>
      <c r="G1482" s="6"/>
    </row>
    <row r="1483" spans="3:7" x14ac:dyDescent="0.25">
      <c r="C1483" s="6"/>
      <c r="D1483" s="6"/>
      <c r="E1483" s="6"/>
      <c r="F1483" s="6"/>
      <c r="G1483" s="6"/>
    </row>
    <row r="1484" spans="3:7" x14ac:dyDescent="0.25">
      <c r="C1484" s="6"/>
      <c r="D1484" s="6"/>
      <c r="E1484" s="6"/>
      <c r="F1484" s="6"/>
      <c r="G1484" s="6"/>
    </row>
    <row r="1485" spans="3:7" x14ac:dyDescent="0.25">
      <c r="C1485" s="6"/>
      <c r="D1485" s="6"/>
      <c r="E1485" s="6"/>
      <c r="F1485" s="6"/>
      <c r="G1485" s="6"/>
    </row>
    <row r="1486" spans="3:7" x14ac:dyDescent="0.25">
      <c r="C1486" s="6"/>
      <c r="D1486" s="6"/>
      <c r="E1486" s="6"/>
      <c r="F1486" s="6"/>
      <c r="G1486" s="6"/>
    </row>
    <row r="1487" spans="3:7" x14ac:dyDescent="0.25">
      <c r="C1487" s="6"/>
      <c r="D1487" s="6"/>
      <c r="E1487" s="6"/>
      <c r="F1487" s="6"/>
      <c r="G1487" s="6"/>
    </row>
    <row r="1488" spans="3:7" x14ac:dyDescent="0.25">
      <c r="C1488" s="6"/>
      <c r="D1488" s="6"/>
      <c r="E1488" s="6"/>
      <c r="F1488" s="6"/>
      <c r="G1488" s="6"/>
    </row>
    <row r="1489" spans="3:7" x14ac:dyDescent="0.25">
      <c r="C1489" s="6"/>
      <c r="D1489" s="6"/>
      <c r="E1489" s="6"/>
      <c r="F1489" s="6"/>
      <c r="G1489" s="6"/>
    </row>
    <row r="1490" spans="3:7" x14ac:dyDescent="0.25">
      <c r="C1490" s="6"/>
      <c r="D1490" s="6"/>
      <c r="E1490" s="6"/>
      <c r="F1490" s="6"/>
      <c r="G1490" s="6"/>
    </row>
    <row r="1491" spans="3:7" x14ac:dyDescent="0.25">
      <c r="C1491" s="6"/>
      <c r="D1491" s="6"/>
      <c r="E1491" s="6"/>
      <c r="F1491" s="6"/>
      <c r="G1491" s="6"/>
    </row>
    <row r="1492" spans="3:7" x14ac:dyDescent="0.25">
      <c r="C1492" s="6"/>
      <c r="D1492" s="6"/>
      <c r="E1492" s="6"/>
      <c r="F1492" s="6"/>
      <c r="G1492" s="6"/>
    </row>
    <row r="1493" spans="3:7" x14ac:dyDescent="0.25">
      <c r="C1493" s="6"/>
      <c r="D1493" s="6"/>
      <c r="E1493" s="6"/>
      <c r="F1493" s="6"/>
      <c r="G1493" s="6"/>
    </row>
    <row r="1494" spans="3:7" x14ac:dyDescent="0.25">
      <c r="C1494" s="6"/>
      <c r="D1494" s="6"/>
      <c r="E1494" s="6"/>
      <c r="F1494" s="6"/>
      <c r="G1494" s="6"/>
    </row>
    <row r="1495" spans="3:7" x14ac:dyDescent="0.25">
      <c r="C1495" s="6"/>
      <c r="D1495" s="6"/>
      <c r="E1495" s="6"/>
      <c r="F1495" s="6"/>
      <c r="G1495" s="6"/>
    </row>
    <row r="1496" spans="3:7" x14ac:dyDescent="0.25">
      <c r="C1496" s="6"/>
      <c r="D1496" s="6"/>
      <c r="E1496" s="6"/>
      <c r="F1496" s="6"/>
      <c r="G1496" s="6"/>
    </row>
    <row r="1497" spans="3:7" x14ac:dyDescent="0.25">
      <c r="C1497" s="6"/>
      <c r="D1497" s="6"/>
      <c r="E1497" s="6"/>
      <c r="F1497" s="6"/>
      <c r="G1497" s="6"/>
    </row>
    <row r="1498" spans="3:7" x14ac:dyDescent="0.25">
      <c r="C1498" s="6"/>
      <c r="D1498" s="6"/>
      <c r="E1498" s="6"/>
      <c r="F1498" s="6"/>
      <c r="G1498" s="6"/>
    </row>
    <row r="1499" spans="3:7" x14ac:dyDescent="0.25">
      <c r="C1499" s="6"/>
      <c r="D1499" s="6"/>
      <c r="E1499" s="6"/>
      <c r="F1499" s="6"/>
      <c r="G1499" s="6"/>
    </row>
    <row r="1500" spans="3:7" x14ac:dyDescent="0.25">
      <c r="C1500" s="6"/>
      <c r="D1500" s="6"/>
      <c r="E1500" s="6"/>
      <c r="F1500" s="6"/>
      <c r="G1500" s="6"/>
    </row>
    <row r="1501" spans="3:7" x14ac:dyDescent="0.25">
      <c r="C1501" s="6"/>
      <c r="D1501" s="6"/>
      <c r="E1501" s="6"/>
      <c r="F1501" s="6"/>
      <c r="G1501" s="6"/>
    </row>
    <row r="1502" spans="3:7" x14ac:dyDescent="0.25">
      <c r="C1502" s="6"/>
      <c r="D1502" s="6"/>
      <c r="E1502" s="6"/>
      <c r="F1502" s="6"/>
      <c r="G1502" s="6"/>
    </row>
    <row r="1503" spans="3:7" x14ac:dyDescent="0.25">
      <c r="C1503" s="6"/>
      <c r="D1503" s="6"/>
      <c r="E1503" s="6"/>
      <c r="F1503" s="6"/>
      <c r="G1503" s="6"/>
    </row>
    <row r="1504" spans="3:7" x14ac:dyDescent="0.25">
      <c r="C1504" s="6"/>
      <c r="D1504" s="6"/>
      <c r="E1504" s="6"/>
      <c r="F1504" s="6"/>
      <c r="G1504" s="6"/>
    </row>
    <row r="1505" spans="3:7" x14ac:dyDescent="0.25">
      <c r="C1505" s="6"/>
      <c r="D1505" s="6"/>
      <c r="E1505" s="6"/>
      <c r="F1505" s="6"/>
      <c r="G1505" s="6"/>
    </row>
    <row r="1506" spans="3:7" x14ac:dyDescent="0.25">
      <c r="C1506" s="6"/>
      <c r="D1506" s="6"/>
      <c r="E1506" s="6"/>
      <c r="F1506" s="6"/>
      <c r="G1506" s="6"/>
    </row>
    <row r="1507" spans="3:7" x14ac:dyDescent="0.25">
      <c r="C1507" s="6"/>
      <c r="D1507" s="6"/>
      <c r="E1507" s="6"/>
      <c r="F1507" s="6"/>
      <c r="G1507" s="6"/>
    </row>
    <row r="1508" spans="3:7" x14ac:dyDescent="0.25">
      <c r="C1508" s="6"/>
      <c r="D1508" s="6"/>
      <c r="E1508" s="6"/>
      <c r="F1508" s="6"/>
      <c r="G1508" s="6"/>
    </row>
    <row r="1509" spans="3:7" x14ac:dyDescent="0.25">
      <c r="C1509" s="6"/>
      <c r="D1509" s="6"/>
      <c r="E1509" s="6"/>
      <c r="F1509" s="6"/>
      <c r="G1509" s="6"/>
    </row>
    <row r="1510" spans="3:7" x14ac:dyDescent="0.25">
      <c r="C1510" s="6"/>
      <c r="D1510" s="6"/>
      <c r="E1510" s="6"/>
      <c r="F1510" s="6"/>
      <c r="G1510" s="6"/>
    </row>
    <row r="1511" spans="3:7" x14ac:dyDescent="0.25">
      <c r="C1511" s="6"/>
      <c r="D1511" s="6"/>
      <c r="E1511" s="6"/>
      <c r="F1511" s="6"/>
      <c r="G1511" s="6"/>
    </row>
    <row r="1512" spans="3:7" x14ac:dyDescent="0.25">
      <c r="C1512" s="6"/>
      <c r="D1512" s="6"/>
      <c r="E1512" s="6"/>
      <c r="F1512" s="6"/>
      <c r="G1512" s="6"/>
    </row>
    <row r="1513" spans="3:7" x14ac:dyDescent="0.25">
      <c r="C1513" s="6"/>
      <c r="D1513" s="6"/>
      <c r="E1513" s="6"/>
      <c r="F1513" s="6"/>
      <c r="G1513" s="6"/>
    </row>
    <row r="1514" spans="3:7" x14ac:dyDescent="0.25">
      <c r="C1514" s="6"/>
      <c r="D1514" s="6"/>
      <c r="E1514" s="6"/>
      <c r="F1514" s="6"/>
      <c r="G1514" s="6"/>
    </row>
    <row r="1515" spans="3:7" x14ac:dyDescent="0.25">
      <c r="C1515" s="6"/>
      <c r="D1515" s="6"/>
      <c r="E1515" s="6"/>
      <c r="F1515" s="6"/>
      <c r="G1515" s="6"/>
    </row>
    <row r="1516" spans="3:7" x14ac:dyDescent="0.25">
      <c r="C1516" s="6"/>
      <c r="D1516" s="6"/>
      <c r="E1516" s="6"/>
      <c r="F1516" s="6"/>
      <c r="G1516" s="6"/>
    </row>
    <row r="1517" spans="3:7" x14ac:dyDescent="0.25">
      <c r="C1517" s="6"/>
      <c r="D1517" s="6"/>
      <c r="E1517" s="6"/>
      <c r="F1517" s="6"/>
      <c r="G1517" s="6"/>
    </row>
    <row r="1518" spans="3:7" x14ac:dyDescent="0.25">
      <c r="C1518" s="6"/>
      <c r="D1518" s="6"/>
      <c r="E1518" s="6"/>
      <c r="F1518" s="6"/>
      <c r="G1518" s="6"/>
    </row>
    <row r="1519" spans="3:7" x14ac:dyDescent="0.25">
      <c r="C1519" s="6"/>
      <c r="D1519" s="6"/>
      <c r="E1519" s="6"/>
      <c r="F1519" s="6"/>
      <c r="G1519" s="6"/>
    </row>
    <row r="1520" spans="3:7" x14ac:dyDescent="0.25">
      <c r="C1520" s="6"/>
      <c r="D1520" s="6"/>
      <c r="E1520" s="6"/>
      <c r="F1520" s="6"/>
      <c r="G1520" s="6"/>
    </row>
    <row r="1521" spans="3:7" x14ac:dyDescent="0.25">
      <c r="C1521" s="6"/>
      <c r="D1521" s="6"/>
      <c r="E1521" s="6"/>
      <c r="F1521" s="6"/>
      <c r="G1521" s="6"/>
    </row>
    <row r="1522" spans="3:7" x14ac:dyDescent="0.25">
      <c r="C1522" s="6"/>
      <c r="D1522" s="6"/>
      <c r="E1522" s="6"/>
      <c r="F1522" s="6"/>
      <c r="G1522" s="6"/>
    </row>
    <row r="1523" spans="3:7" x14ac:dyDescent="0.25">
      <c r="C1523" s="6"/>
      <c r="D1523" s="6"/>
      <c r="E1523" s="6"/>
      <c r="F1523" s="6"/>
      <c r="G1523" s="6"/>
    </row>
    <row r="1524" spans="3:7" x14ac:dyDescent="0.25">
      <c r="C1524" s="6"/>
      <c r="D1524" s="6"/>
      <c r="E1524" s="6"/>
      <c r="F1524" s="6"/>
      <c r="G1524" s="6"/>
    </row>
    <row r="1525" spans="3:7" x14ac:dyDescent="0.25">
      <c r="C1525" s="6"/>
      <c r="D1525" s="6"/>
      <c r="E1525" s="6"/>
      <c r="F1525" s="6"/>
      <c r="G1525" s="6"/>
    </row>
  </sheetData>
  <sheetProtection formatCells="0" formatColumns="0" formatRows="0" insertHyperlinks="0" sort="0" autoFilter="0" pivotTables="0"/>
  <autoFilter ref="A3:E23" xr:uid="{75D33D70-7340-43F7-9A65-B4C3A22CC22F}"/>
  <mergeCells count="1">
    <mergeCell ref="A2:B2"/>
  </mergeCells>
  <conditionalFormatting sqref="A4:B23">
    <cfRule type="cellIs" dxfId="18" priority="1"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Setup</vt:lpstr>
      <vt:lpstr>Data</vt:lpstr>
      <vt:lpstr>Pivot</vt:lpstr>
    </vt:vector>
  </TitlesOfParts>
  <Company>Utah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Clark</dc:creator>
  <cp:lastModifiedBy>Steven Clark</cp:lastModifiedBy>
  <dcterms:created xsi:type="dcterms:W3CDTF">2026-04-11T22:10:50Z</dcterms:created>
  <dcterms:modified xsi:type="dcterms:W3CDTF">2026-04-15T08:28:14Z</dcterms:modified>
</cp:coreProperties>
</file>